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rverity/Dropbox/Bob/Work/My Papers/ SUBMITTED/Africa_DR_mapping/Lancet_ID_revisions/supplement/"/>
    </mc:Choice>
  </mc:AlternateContent>
  <xr:revisionPtr revIDLastSave="0" documentId="13_ncr:1_{EA311223-20FC-454B-A809-B5E4E83E7921}" xr6:coauthVersionLast="47" xr6:coauthVersionMax="47" xr10:uidLastSave="{00000000-0000-0000-0000-000000000000}"/>
  <bookViews>
    <workbookView xWindow="0" yWindow="660" windowWidth="34560" windowHeight="19800" xr2:uid="{00000000-000D-0000-FFFF-FFFF00000000}"/>
  </bookViews>
  <sheets>
    <sheet name="Risk of Bias" sheetId="1" r:id="rId1"/>
  </sheets>
  <definedNames>
    <definedName name="_xlnm._FilterDatabase" localSheetId="0" hidden="1">'Risk of Bias'!$A$1:$S$134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36" i="1" l="1"/>
  <c r="K137" i="1" s="1"/>
  <c r="K138" i="1" s="1"/>
  <c r="J136" i="1"/>
  <c r="J137" i="1" s="1"/>
  <c r="J138" i="1" s="1"/>
  <c r="I136" i="1"/>
  <c r="I137" i="1" s="1"/>
  <c r="I138" i="1" s="1"/>
  <c r="H136" i="1"/>
  <c r="H137" i="1" s="1"/>
  <c r="H138" i="1" s="1"/>
  <c r="G136" i="1"/>
  <c r="G137" i="1" s="1"/>
  <c r="G138" i="1" s="1"/>
  <c r="F136" i="1"/>
  <c r="F137" i="1" s="1"/>
  <c r="F138" i="1" s="1"/>
  <c r="L134" i="1"/>
  <c r="L133" i="1"/>
  <c r="L132" i="1"/>
  <c r="L131" i="1"/>
  <c r="L130" i="1"/>
  <c r="L129" i="1"/>
  <c r="L128" i="1"/>
  <c r="L127" i="1"/>
  <c r="L126" i="1"/>
  <c r="L125" i="1"/>
  <c r="L124"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<sst xmlns="http://schemas.openxmlformats.org/spreadsheetml/2006/main" count="1314" uniqueCount="888">
  <si>
    <t>Covidence_Number</t>
  </si>
  <si>
    <t>study_uid</t>
  </si>
  <si>
    <t>PMID</t>
  </si>
  <si>
    <t>DOI</t>
  </si>
  <si>
    <t>Sampling context</t>
  </si>
  <si>
    <t>Collection Sites</t>
  </si>
  <si>
    <t>Minor Allele Detection</t>
  </si>
  <si>
    <t>Quality Checks</t>
  </si>
  <si>
    <t>Mixed infections</t>
  </si>
  <si>
    <t>Prevalence Denominator</t>
  </si>
  <si>
    <t>Total Risk Score</t>
  </si>
  <si>
    <t>Country</t>
  </si>
  <si>
    <t>Title</t>
  </si>
  <si>
    <t>Authors</t>
  </si>
  <si>
    <t>Abstract</t>
  </si>
  <si>
    <t>Pub_year</t>
  </si>
  <si>
    <t>pub_month</t>
  </si>
  <si>
    <t>Journal</t>
  </si>
  <si>
    <t>#100</t>
  </si>
  <si>
    <t>s0101_plucinski_2017</t>
  </si>
  <si>
    <t>10.1186/s12936-017-1712-4</t>
  </si>
  <si>
    <t>Neeva</t>
  </si>
  <si>
    <t>Angola</t>
  </si>
  <si>
    <t>Efficacy of artemether-lumefantrine, artesunate-amodiaquine, and dihydroartemisinin-piperaquine for treatment of uncomplicated Plasmodium falciparum malaria in Angola, 2015.</t>
  </si>
  <si>
    <t>Plucinski MM; Dimbu PR; Macaia AP; Ferreira CM; Samutondo C; Quivinja J; Afonso M; Kiniffo R; Mbounga E; Kelley JS; Patel DS; He Y; Talundzic E; Garrett DO; Halsey ES; Udhayakumar V; Ringwald P; Fortes F</t>
  </si>
  <si>
    <t>BACKGROUND: Recent anti-malarial resistance monitoring in Angola has shown efficacy of artemether-lumefantrine (AL) in certain sites approaching the key 90% lower limit of efficacy recommended for artemisinin-based combination therapy. In addition, a controversial case of malaria unresponsive to artemisinins was reported in a patient infected in Lunda Sul Province in 2013. METHODS: During January-June 2015, investigators monitored the clinical and parasitological response of children with uncomplicated Plasmodium falciparum infection treated with AL, artesunate-amodiaquine (ASAQ), or dihydroartemisinin-piperaquine (DP). The study comprised two treatment arms in each of three provinces: Benguela (AL, ASAQ), Zaire (AL, DP), and Lunda Sul (ASAQ, DP). Samples from treatment failures were analysed for molecular markers of resistance for artemisinin (K13) and lumefantrine (pfmdr1). RESULTS: A total of 467 children reached a study endpoint. Fifty-four treatment failures were observed: four early treatment failures, 40 re-infections and ten recrudescences. Excluding re-infections, the 28-day microsatellite-corrected efficacy was 96.3% (95% CI 91-100) for AL in Benguela, 99.9% (95-100) for ASAQ in Benguela, 88.1% (81-95) for AL in Zaire, and 100% for ASAQ in Lunda Sul. For DP, the 42-day corrected efficacy was 98.8% (96-100) in Zaire and 100% in Lunda Sul. All treatment failures were wild type for K13, but all AL treatment failures had pfmdr1 haplotypes associated with decreased lumefantrine susceptibility. CONCLUSIONS: No evidence was found to corroborate the specific allegation of artemisinin resistance in Lunda Sul. The efficacy below 90% of AL in Zaire matches findings from 2013 from the same site. Further monitoring, particularly including measurement of lumefantrine blood levels, is recommended.</t>
  </si>
  <si>
    <t>Feb</t>
  </si>
  <si>
    <t>Malar J</t>
  </si>
  <si>
    <t>#308</t>
  </si>
  <si>
    <t>s0103_ebel_2021</t>
  </si>
  <si>
    <t>10.1186/s12936-021-03713-2</t>
  </si>
  <si>
    <t>Historical trends and new surveillance of Plasmodium falciparum drug resistance markers in Angola.</t>
  </si>
  <si>
    <t>Ebel ER; Reis F; Petrov DA; Beleza S</t>
  </si>
  <si>
    <t>BACKGROUND: Plasmodium falciparum resistance to chloroquine (CQ) and sulfadoxine-pyrimethamine (SP) has historically posed a major threat to malaria control throughout the world. The country of Angola officially replaced CQ with artemisinin-based combination therapy (ACT) as a first-line treatment in 2006, but malaria cases and deaths have recently been rising. Many classic resistance mutations are relevant for the efficacy of currently available drugs, making it important to continue monitoring their frequency in Angola. METHODS: Plasmodium falciparum DNA was sampled from the blood of 50 hospital patients in Cabinda, Angola from October-December of 2018. Each infection was genotyped for 13 alleles in the genes crt, mdr1, dhps, dhfr, and kelch13, which are collectively involved in resistance to six common anti-malarials. To compare frequency patterns over time, P. falciparum genotype data were also collated from studies published from across Angola in the last two decades. RESULTS: The two most important alleles for CQ resistance, crt 76T and mdr1 86Y, were found at respective frequencies of 71.4% and 6.5%. Historical data suggest that mdr1 N86 has been steadily replacing 86Y throughout Angola in the last decade, while the frequency of crt 76T has been more variable across studies. Over a third of new samples from Cabinda were 'quintuple mutants' for SP resistance in dhfr/dhps, with a sixth mutation at dhps A581G present at 9.6% frequency. The markers dhfr 51I, dhfr 108N, and dhps 437G have been nearly fixed in Angola since the early 2000s, whereas dhfr 59R may have risen to high frequency more recently. Finally, no non-synonymous polymorphisms were detected in kelch13, which is involved in artemisinin resistance in Southeast Asia. CONCLUSIONS: Genetic markers of P. falciparum resistance to CQ are likely declining in frequency in Angola, consistent with the official discontinuation of CQ in 2006. The high frequency of multiple genetic markers of SP resistance is consistent with the continued public and private use of SP. In the future, more complete haplotype data from mdr1, dhfr, and dhps will be critical for understanding the changing efficacy of multiple anti-malarial drugs. These data can be used to support effective drug policy decisions in Angola.</t>
  </si>
  <si>
    <t>Apr</t>
  </si>
  <si>
    <t>#322</t>
  </si>
  <si>
    <t>s0105_kpemasse_2021</t>
  </si>
  <si>
    <t>10.4269/ajtmh.21-0086</t>
  </si>
  <si>
    <t>Benin</t>
  </si>
  <si>
    <t>Efficacy of Artemether-Lumefantrine for the Treatment of Plasmodium falciparum Malaria in Bohicon and Kandi, Republic of Benin, 2018-2019.</t>
  </si>
  <si>
    <t>Kpemasse A; Dagnon F; Saliou R; Yarou Maye AS; Affoukou CD; Zoulkaneri A; Guézo-Mévo B; Moriarty LF; Ndiaye YD; Garba MN; Deme AB; Ndiaye D; Hounto AO</t>
  </si>
  <si>
    <t>In 2005, artemether-lumefantrine (AL), an artemisinin-based combination therapy, was introduced as the first-line treatment of uncomplicated Plasmodium falciparum malaria in Benin. Per World Health Organization recommendations to monitor the efficacy of antimalarial treatment, we conducted a therapeutic efficacy study with AL for uncomplicated P. falciparum malaria in Bohicon and Kandi, Benin, from 2018 to 2019. Febrile patients aged 6 to 59 months with confirmed P. falciparum monoinfection received supervised doses of AL for 3 days. We monitored patients clinically and parasitologically on days 1, 2, 3, 7, 14, 21, and 28. A molecular analysis to detect mutations in the P. falciparum Kelch propeller gene (Pfk13) gene was carried out on day 0 samples. A total of 205 patients were included in the study. In Bohicon, the uncorrected adequate clinical and parasitological response (ACPR) proportion was 91.3% (95% confidence interval [CI]: 84.6-95.8%), whereas in Kandi this proportion was 96.7% (95% CI: 90.6-99.3%). Genotype-corrected ACPR proportions were 96.3% (95% CI: 90.9-99.0%) and 96.7% (95% CI: 90.6-99.3%) in Bohicon and Kandi, respectively. On day 3, 100% of patients in Bohicon and 98.9% of patients in Kandi had undetectable parasitemia. The C580Y mutation in the Pfk13 gene was not observed. AL remains effective for P. falciparum malaria in these two sites in Benin. Monitoring antimalarial efficacy and prevalence of molecular-resistance markers in Benin should be continued to allow for early detection of antimalarial resistance and to guide treatment policies.</t>
  </si>
  <si>
    <t>Jul</t>
  </si>
  <si>
    <t>Am J Trop Med Hyg</t>
  </si>
  <si>
    <t>#444</t>
  </si>
  <si>
    <t>s0106_lepiscopia_2023</t>
  </si>
  <si>
    <t>10.1016/j.actatropica.2023.106975</t>
  </si>
  <si>
    <t>Polymorphism analysis of drug resistance markers in Plasmodium falciparum isolates from Benin.</t>
  </si>
  <si>
    <t>L'Episcopia M; Doderer-Lang C; Perrotti E; Priuli GB; Cavallari S; Guidetti C; Bernieri F; Menard D; Severini C</t>
  </si>
  <si>
    <t>Like most countries in sub-Saharan African countries, Benin continues to bear a heavy malaria burden. In 2014, the National Malaria Control Programme (NMCP) changed its treatment policy, and recommended the use of artemisinin-based combination therapy (ACT) as first-line treatment for uncomplicated Plasmodium falciparum cases. The study presented here was conducted to investigate the impact of current antimalarial drug resistance on the country. Molecular surveillance targeting the Pfcrt, Pfmdr1, Pfkelch13, dhfr, and dhps genes was carried out on samples from patients positive for P. falciparum malaria by microscopy, LAMP and PCR diagnostic test. Molecular analysis was performed using targeted amplicon deep sequencing (TADS). In addition, the frequency of parasites with dual deletion of the histidine-rich protein 2 and 3 genes (pfhrp2 and pfhrp3), known to be responsible of the performance of HRP-based malaria rapid diagnostic tests (HRP-RDT), was estimated. Fifty-three falciparum samples collected at the Saint Jean de Dieu hospital in Tanguiéta, Benin, were tested. No Pfkelch13 validated or candidate artemisinin partial resistant variants were identified. A marked prevalence of Asn51Ile (N51I), Cys59Arg (C59R), and Ser108Asn (S108N) mutant alleles was found in the dhfr gene, representing the most frequent genotype (64%). Five-point mutations were detected in dhps, Ile431Val (I431V), Ser436Ala (S436A), Ala437Gly (A437G), Ala581Gly (A581G), Ala613Ser (A613S) of which the third was the most common (92%). No mutation was identified in dhps Lys540Glu (K540E). The quintuple mutant genotype resulting from the combination of the dhfr triple mutant (51I/59R/108N) with the dhps double mutant 436A/437G was detected at a frequency of 30%. Low levels of mutations in Pfcrt and no mutation at codon 86 in the Pfmdr1 DNA fragment were observed, whereas a high level of Tyr184Phe (Y184F) polymorphism in the Pfmdr1 gene was found. These results could be indicative, over a decade after the implementation of ACT therapy, of the return of chloroquine-sensitive but artemether-lumefantrine resistant falciparum genotypes in Benin. There was no evidence of HRP2 and HRP3 deletions. Data from the present study support the need for routine monitoring of molecular markers of antimalarial drug resistance as part of surveillance activities aimed to make informed treatment policy decisions at the national level.</t>
  </si>
  <si>
    <t>Sep</t>
  </si>
  <si>
    <t>Acta Trop</t>
  </si>
  <si>
    <t>#271</t>
  </si>
  <si>
    <t>s0108_natama_2020</t>
  </si>
  <si>
    <t>10.1186/s12936-020-03473-5</t>
  </si>
  <si>
    <t>Burkina-Faso</t>
  </si>
  <si>
    <t>Prevalence and factors associated with carriage of Pfmdr1 polymorphisms among pregnant women receiving intermittent preventive treatment with sulfadoxine-pyrimethamine (IPTp-SP) and artemether-lumefantrine for malaria treatment in Burkina Faso.</t>
  </si>
  <si>
    <t>Natama HM; Toussaint R; Bazié DLC; Samadoulougou S; Coulibaly-Traoré M; Tinto H; Kirakoya-Samadoulougou F</t>
  </si>
  <si>
    <t>BACKGROUND: Single nucleotide polymorphisms occurring in the Plasmodium falciparum multidrug resistant gene 1 (pfmdr1) are known to be associated with aminoquinoline resistance and, therefore, represent key P. falciparum markers for monitoring resistance both in susceptible groups (children under 5 years old and pregnant women) and in the general population. This study aimed to determine prevalence and factors associated with the carriage of pfmdr1 N86Y, Y184F and D1246Y polymorphisms among pregnant women in a setting of high malaria transmission in Burkina Faso. METHODS: Plasmodium falciparum isolates were collected at the first antenatal care visit (ANC-1) as well as at delivery from pregnant women participating in the COSMIC trial (NTC01941264), which assessed malaria preventive interventions during pregnancy in the Nanoro Health District. Here, pregnant women received intermittent preventive treatment with sulfadoxine-pyrimethamine (IPTp-SP) and malaria infections and/or diseases were treated using artemether-lumefantrine (AL) during the trial. Parasite DNA was extracted from dried blood spots and the presence of pfmdr1 mutations at positions 86, 184 and 1246 was determined using nested PCR, followed by restriction fragment length polymorphism (RFLP) analysis. RESULTS: A prevalence of 13.2% (20/151) and 12.1% (14/116) of the pfmdr1 86Y mutant allele was found at ANC-1 and at delivery, respectively, while no mutant allele was observed for Y184F and D1246Y codons at both ANC-1 and at delivery. There were no significant factors associated with pfmdr1 86Y mutant allele carriage at ANC-1. However, malaria infections at delivery with a parasite density above the median (2237.2 (IQR: 613.5-11,425.7) parasites/µl) was associated with an increase risk of pfmdr1 86Y mutant allele carriage (AOR = 5.5 (95% CI  1.07-28.0); P = 0.04). In contrast, both three or more IPTp-SP doses (AOR = 0.25 (95% CI 0.07-0.92); P = 0.04) and one or more AL treatment (AOR = 0.25 (95% CI 0.07-0.89); P = 0.03) during pregnancy were associated with a significant reduce risk of pfmdr1 86Y mutant allele carriage at delivery. CONCLUSION: These findings suggest that both high coverage of IPTp-SP and the use of AL for the treatment of malaria infection/disease during pregnancy select for pfmdr1 N86 wild-type allele at delivery.</t>
  </si>
  <si>
    <t>Nov</t>
  </si>
  <si>
    <t>#288</t>
  </si>
  <si>
    <t>s0109_gansane_2021</t>
  </si>
  <si>
    <t>10.1186/s12936-021-03585-6</t>
  </si>
  <si>
    <t>Anti-malarial efficacy and resistance monitoring of artemether-lumefantrine and dihydroartemisinin-piperaquine shows inadequate efficacy in children in Burkina Faso, 2017-2018.</t>
  </si>
  <si>
    <t>Gansané A; Moriarty LF; Ménard D; Yerbanga I; Ouedraogo E; Sondo P; Kinda R; Tarama C; Soulama E; Tapsoba M; Kangoye D; Compaore CS; Badolo O; Dao B; Tchwenko S; Tinto H; Valea I</t>
  </si>
  <si>
    <t>BACKGROUND: The World Health Organization recommends regularly assessing the efficacy of artemisinin-based combination therapy (ACT), which is a critical tool in the fight against malaria. This study evaluated the efficacy of two artemisinin-based combinations recommended to treat uncomplicated Plasmodium falciparum malaria in Burkina Faso in three sites: Niangoloko, Nanoro, and Gourcy. METHODS: This was a two-arm randomized control trial of the efficacy of artemether-lumefantrine (AL) and dihydroartemisinin-piperaquine (DP). Children aged 6-59 months old were monitored for 42 days. The primary outcomes of the study were uncorrected and PCR-corrected efficacies to day 28 for AL and 42 for DP. Molecular markers of resistance to artemisinin derivatives and partner drugs were also analysed. RESULTS: Of 720 children enrolled, 672 reached study endpoints at day 28, 333 in the AL arm and 339 in the DP arm. PCR-corrected 28-day per protocol efficacy in the AL arm was 74% (64-83%) in Nanoro, 76% (66-83%) in Gourcy, and 92% (84-96%) in Niangoloko. The PCR-corrected 42-day per protocol efficacy in the DP arm was 84% (75-89%) in Gourcy, 89% (81-94%) in Nanoro, and 97% (92-99%) in Niangoloko. No Pfk13 mutation previously associated with artemisinin-resistance was observed. No statistically significant association was found between treatment outcome and presence of the 86Y mutation in the Pfmdr1 gene. There was also no association observed between treatment outcome and Pfpm2 or Pfmdr1 copy number variation. CONCLUSION: The results of this study indicate evidence of inadequate efficacy of AL at day 28 and DP at day 42 in the same two sites. A change of first-line ACT may be warranted in Burkina Faso. Trial Registry Pan African Clinical Trial Registry Identifier: PACTR201708002499311. Date of registration: 8/3/2017 https://pactr.samrc.ac.za/Search.aspx.</t>
  </si>
  <si>
    <t>Jan</t>
  </si>
  <si>
    <t>#454</t>
  </si>
  <si>
    <t>s0110_tarama_2023</t>
  </si>
  <si>
    <t>10.1186/s12936-023-04645-9</t>
  </si>
  <si>
    <t>Plasmodium falciparum drug resistance-associated mutations in isolates from children living in endemic areas of Burkina Faso.</t>
  </si>
  <si>
    <t>Tarama CW; Soré H; Siribié M; Débé S; Kinda R; Ganou A; Nonkani WG; Tiendrebeogo F; Bantango W; Yira K; Sagnon A; Ilboudo S; Hien EY; Guelbéogo MW; Sagnon N; Traoré Y; Ménard D; Gansané A</t>
  </si>
  <si>
    <t>BACKGROUND: Artemisinin-based combinations therapy (ACT) is the current frontline curative therapy for uncomplicated malaria in Burkina Faso. Sulfadoxine-pyrimethamine (SP) is used for the preventive treatment of pregnant women (IPTp), while SP plus amodiaquine (SP-AQ) is recommended for children under five in seasonal malaria chemoprevention (SMC). This study aimed to assess the proportions of mutations in the P. falciparum multidrug-resistance 1 (Pfmdr1), P. falciparum chloroquine resistance transporter (Pfcrt), P. falciparum dihydrofolate reductase (pfdhfr), and P. falciparum dihydropteroate synthase (pfdhps), genes from isolates collected during household surveys in Burkina Faso. METHODS: Dried blood spots from Plasmodium falciparum-positive cases at three sites (Orodara, Gaoua, and Banfora) collected during the peak of transmission were analysed for mutations in Pfcrt (codons 72-76, 93, 97, 145, 218, 343, 350 and 353), Pfmdr-1 (codons 86, 184, 1034, 1042 and 1246) dhfr (codons 51, 59, 108, 164) and dhps (at codons 431, 436, 437, 540, 581, 613) genes using deep sequencing of multiplexed Polymerase chaine reaction (PCR) amplicons. RESULTS: Of the 377 samples analysed, 346 (91.7%), 369 (97.9%), 368 (97.6%), and 374 (99.2%) were successfully sequenced for Pfcrt, Pfmdr-1, dhfr, and dhps, respectively. Most of the samples had a Pfcrt wild-type allele (89.3%). The 76T mutation was below 10%. The most frequent Pfmdr-1 mutation was detected at codon 184 (Y &gt; F, 30.9%). The single mutant genotype (NFSND) predominated (66.7%), followed by the wild-type genotype (NYSND, 30.4%). The highest dhfr mutations were observed at codon 59R (69.8%), followed by codons 51I (66.6%) and 108 N (14.7%). The double mutant genotype (ACIRSI) predominated (52.4%). For mutation in the dhps gene, the highest frequency was observed at codon 437 K (89.3%), followed by codons 436 A (61.2%), and 613 S (14.4%). The double mutant genotype (IAKKAA) and the single mutant genotype (ISKKAA) were predominant (37.7% and 37.2%, respectively). The most frequent dhfr/dhps haplotypes were the triple mutant ACIRSI/IAKKAA (23%), the wild-type ACNCSI/ISKKAA (19%) and the double mutant ACIRSI/ISKKAA (14%). A septuple mutant ACIRNI/VAKKGA was observed in 2 isolates from Gaoua (0.5%). CONCLUSION: The efficacy of ACT partner drugs and drugs used in IPTp and SMC does not appear to be affected by the low proportion of highly resistant mutants observed in this study. Continued monitoring, including molecular surveillance, is critical for decision-making on effective treatment policy in Burkina Faso.</t>
  </si>
  <si>
    <t>#76</t>
  </si>
  <si>
    <t>s0113_mbenda_2016</t>
  </si>
  <si>
    <t>10.1016/j.meegid.2016.07.003</t>
  </si>
  <si>
    <t>Cameroon</t>
  </si>
  <si>
    <t>Analysis of genetic diversity in the chloroquine-resistant gene Pfcrt in field Plasmodium falciparum isolates from five regions of the southern Cameroon.</t>
  </si>
  <si>
    <t>Mbenda HG; Das A</t>
  </si>
  <si>
    <t>Understanding the population genetics of genes which shape resistance to antimalarial drugs can help in devising novel control strategies. The high spread of the resistant strains of the malaria parasite Plasmodium falciparum pose a greater challenge than before to the control programs across the world. Specific mutations in the P. falciparum chloroquine resistant transporter gene "Pfcrt" have been associated with resistance to not only chloroquine, but also to amodiaquine, one of the artemisinin partners used in Cameroon for the treatment of uncomplicated malaria. We here present data on genetic variation at the Single Nucleotide Polymorphisms (SNPs) level in the Pfcrt gene in five distinct geographical settings of the Southern-Cameroon (the most malaria endemic part), i.e. Ebolowa, Yaounde, Bertoua, Douala and Kye-ossi (a city bordering Cameroon and two others African countries). Two novel mutations, hitherto unreported (in Cameroon) were found in the Pfcrt gene and variable genetic diversity was observed across the populations. High linkage disequilibrium was found between few SNPs including one of the novel mutations suggesting a synergistic work for conferring/maintaining a higher level of resistance. The inference of evolutionary pattern of this gene in Cameroon based on the genetic diversity data depicts a signature of Darwinian positive natural selection on these loci. Observation of novel mutations might traduce new variants in chloroquine/or amodiaquine resistance (proposal awaiting an experimental verification) and signal of positive selection can be the result of drug pressure exerted by misuse of chloroquine (though officially banned from the country) and/or amodiaquine. Our findings thus, provide a baseline understanding of the evolution of a malaria drug resistant gene in Cameroon and suggest a successful establishment of chloroquine-resistant strains which requires urgent attention of the malaria control program in Cameroon.</t>
  </si>
  <si>
    <t>Oct</t>
  </si>
  <si>
    <t>Infect Genet Evol</t>
  </si>
  <si>
    <t>#314</t>
  </si>
  <si>
    <t>s0114_lepiscopia_2021</t>
  </si>
  <si>
    <t>10.1016/j.ijid.2021.04.081</t>
  </si>
  <si>
    <t>Targeted deep amplicon sequencing of antimalarial resistance markers in Plasmodium falciparum isolates from Cameroon.</t>
  </si>
  <si>
    <t>L'Episcopia M; Kelley J; Djeunang Dongho BG; Patel D; Schmedes S; Ravishankar S; Perrotti E; Modiano D; Lucchi NW; Russo G; Talundzic E; Severini C</t>
  </si>
  <si>
    <t>BACKGROUND: Recent studies showed the first emergence of the R561H artemisinin-associated resistance marker in Africa, which highlights the importance of continued molecular surveillance to assess the selection and spread of this and other drug resistance markers in the region. METHOD: In this study, we used targeted amplicon deep sequencing of 116 isolates collected in two areas of Cameroon to genotype the major drug resistance genes, k13, crt, mdr1, dhfr, and dhps, and the cytochrome b gene (cytb) in Plasmodium falciparum. RESULTS: No confirmed or associated artemisinin resistance markers were observed in Pfk13. In comparison, both major and minor alleles associated with drug resistance were found in Pfcrt, Pfmdr1, Pfdhfr, and Pfdhps. Notably, a high frequency of other nonsynonymous mutations was observed across all the genes, except for Pfcytb, suggesting continued selection pressure. CONCLUSIONS: The results from this study supported the continued use of artemisinin-based combination therapy and administration of sulfadoxine-pyrimethamine for intermittent preventive therapy in pregnant women, and for seasonal chemoprevention in these study sites in Cameroon.</t>
  </si>
  <si>
    <t>Jun</t>
  </si>
  <si>
    <t>Int J Infect Dis</t>
  </si>
  <si>
    <t>#330</t>
  </si>
  <si>
    <t>s0115_tuedomagb_2021</t>
  </si>
  <si>
    <t>10.1371/journal.pone.0256343</t>
  </si>
  <si>
    <t>Antimalarial drug resistance in the Central and Adamawa regions of Cameroon: Prevalence of mutations in P. falciparum crt, Pfmdr1, Pfdhfr and Pfdhps genes.</t>
  </si>
  <si>
    <t>Tuedom AGB; Sarah-Matio EM; Moukoko CEE; Feufack-Donfack BL; Maffo CN; Bayibeki AN; Awono-Ambene HP; Ayong L; Berry A; Abate L; Morlais I; Nsango SE</t>
  </si>
  <si>
    <t>The spread of Plasmodium falciparum resistant parasites remains one of the major challenges for malaria control and elimination in Sub Saharan Africa. Monitoring of molecular markers conferring resistance to different antimalarials is important to track the spread of resistant parasites and to optimize the therapeutic lifespan of current drugs. This study aimed to evaluate the prevalence of known mutations in the drug resistance genes Pfcrt, Pfmdr1, Pfdhfr and Pfdhps in two different epidemiological settings in Cameroon. Dried blood spots collected in 2018 and 2019 from asymptomatic individuals were used for DNA extraction and then the Plasmodium infection status was determined byPCR. Detection of SNPs was performed by nested PCR followed by allele-specific restriction analysis (ASRA). The prevalence of each genotype was compared between sites using the Chi square and Fisher's exact tests. A high prevalence of the Pfcrt K76 wild type allele was found in both sites (88.5 and 62.29% respectively; P&lt; 0,0001). The prevalence of Pfmdr1 mutations 86Y and 1246Y was respectively 55.83 and 1.45% in Mfou and 45.87 and 5.97% in Tibati, with significant difference between the studied areas (P&lt;0.0001). Overall, the Pfdhfr triple-mutant genotype (51I/59R/108N) was highly prevalent (&gt; 96%), however no SNP was detected at codon 164. In Pfdhps, the prevalence of the 437G mutation reached (90%) and was at higher frequency in Mfou (P&lt; 0.0001). Overall, the Pfdhps mutations 540E and 581G were less common (0.33 and 3.26%, respectively). The quadruple resistant genotype (Pfdhfr 51I/59R/108N+Pfdhp437G) was found almost 90% of the samples. The wild-type genotype (Pfdhfr N51/C59/S108/164I+Pfdhps A437/K540/A581) was never identified and the sextuple mutant (Pfdhfr 51I/59R/108N+Pfdhp437G/540E/581G), kwon as super resistant appeared in two samples from Tibati. These findings demonstrate declining trends in the prevalence of mutations conferring resistance to 4-aminoquinolines, especially to chloroquine. However, a high level of mutations in P. falciparum genes related to SP resistance was detected and this raises concerns about the future efficacy of IPTp-SP and SMC in Cameroon.</t>
  </si>
  <si>
    <t>Aug</t>
  </si>
  <si>
    <t>PLoS One</t>
  </si>
  <si>
    <t>#334</t>
  </si>
  <si>
    <t>s0116_mairet-khedim_2021</t>
  </si>
  <si>
    <t>10.1093/jac/dkab281</t>
  </si>
  <si>
    <t>Efficacy of dihydroartemisinin/piperaquine in patients with non-complicated Plasmodium falciparum malaria in Yaoundé, Cameroon.</t>
  </si>
  <si>
    <t>Mairet-Khedim M; Nsango S; Ngou C; Menard S; Roesch C; Khim N; Srun S; Iriart X; Lanot T; Otam L; Abega F; Ayong L; Morlais I; Gandia P; Witkowski B; Berry A</t>
  </si>
  <si>
    <t>BACKGROUND: Dihydroartemisinin/piperaquine is increasingly used for the treatment of uncomplicated Plasmodium falciparum malaria in Africa. The efficacy of this combination in Cameroon is poorly documented, while resistance to dihydroartemisinin/piperaquine readily spreads in Southeast Asia. OBJECTIVES: This study evaluated the clinical efficacy of dihydroartemisinin/piperaquine in Cameroon, as well as the molecular profile and phenotypic susceptibility of collected isolates to dihydroartemisinin and piperaquine. PATIENTS AND METHODS: Dihydroartemisinin/piperaquine efficacy in 42 days was followed-up for 138 patients presenting non-complicated falciparum malaria. Piperaquine concentration was determined at day 7 for 124 patients. kelch13 gene polymorphisms (n = 150) and plasmepsin2 gene amplification (n = 148) were determined as molecular markers of resistance to dihydroartemisinin and piperaquine, respectively. Parasite susceptibility to dihydroartemisinin and piperaquine was determined using validated in vitro survival assays. RESULTS: The efficacy of dihydroartemisinin/piperaquine treatment was 100% after PCR correction. The reinfections were not associated with a variation of piperaquine concentration at day 7. Ninety-six percent (144/150) of the samples presented a WT allele of the kelch13 gene. Two percent (3/150) presented the non-synonymous mutation A578S, which is not associated with resistance to dihydroartemisinin. No duplication of the plasmepsin2 gene was observed (0/148). All the samples tested in vitro by survival assays (n = 87) were susceptible to dihydroartemisinin and piperaquine. CONCLUSIONS: Dihydroartemisinin/piperaquine has demonstrated excellent therapeutic efficacy with no evidence of emerging artemisinin or piperaquine resistance in Yaoundé, Cameroon. This observation suggests that dihydroartemisinin/piperaquine could be a sustainable therapeutic solution for P. falciparum malaria if implemented in areas previously free of artemisinin- and piperaquine-resistant parasites, unlike Southeast Asia.</t>
  </si>
  <si>
    <t>J Antimicrob Chemother</t>
  </si>
  <si>
    <t>#393</t>
  </si>
  <si>
    <t>s0117_nanarrd_2023</t>
  </si>
  <si>
    <t>10.1016/j.parint.2022.102657</t>
  </si>
  <si>
    <t>Anti-folate quintuple mutations in Plasmodium falciparum asymptomatic infections in Yaoundé, Cameroon.</t>
  </si>
  <si>
    <t>Nana RRD; Bayengue SSB; Mogtomo MLK; Ngane ARN; Singh V</t>
  </si>
  <si>
    <t>A major challenge in the fight to effectively control malaria is the emergence of resistant parasite to drugs used in therapy as well as for chemoprevention. In this study, single nucleotide polymorphisms (SNPs) associated with Plasmodium falciparum resistance to sulfadoxine-pyrimethamine (SP), one of the partner drugs in artemisinin-based therapies (ACTs) were studied in asymptomatic P. falciparum isolates from Cameroon. Dried Blood spots were collected from children with asymptomatic malaria enrolled during a household survey. The P. falciparum dihydrofolate reductase (Pfdhfr), dihydropteroate synthase (Pfdhps) and Kelch 13 genes were amplified and point mutations in these gene sequences were analyzed by sequencing. Among a total of 234 samples collected, 51 showed parasitaemia after microscopic examination of which 47 were P. falciparum mono-infections. Molecular analysis revealed 97.3% of mutant alleles at codons 51I, 59R and 108 N in Pfdhfr gene. In Pfdhps gene the most common mutation was 437G (83.3%); followed by 436A (47.6%) and 436F (28.6%). The association of mutations in the two genes (dhfr + dhps) showed 11 different haplotypes including three sextuple mutants (IRNI + AGKGA, IRNI + AAKGS, IRNI + AGKAS) and one septuple mutant (IRNI + AGKGS). For K13 gene no SNPs were seen in the studied asymptomatic malaria samples. The findings revealed presence of SP-resistant alleles in asymptomatic infected individuals with presence of sextuples and septuple SNPs. This emphasizes that regular profiling of antimalarial drugs resistance markers in such population is essential for malaria control and elimination programmes.</t>
  </si>
  <si>
    <t>Parasitol Int</t>
  </si>
  <si>
    <t>#235</t>
  </si>
  <si>
    <t>s0118_nzoumbou-boko_2020</t>
  </si>
  <si>
    <t>10.1186/s12936-020-03264-y</t>
  </si>
  <si>
    <t>Central African Republic</t>
  </si>
  <si>
    <t>Molecular assessment of kelch13 non-synonymous mutations in Plasmodium falciparum isolates from Central African Republic (2017-2019).</t>
  </si>
  <si>
    <t>Nzoumbou-Boko R; Panté-Wockama CG; Ngoagoni C; Petiot N; Legrand E; Vickos U; Gody JC; Manirakiza A; Ndoua C; Lombart JP; Ménard D</t>
  </si>
  <si>
    <t>BACKGROUND: Over the last decade, artemisinin-based combination therapy (ACT) has contributed substantially to the decrease in malaria-related morbidity and mortality. The emergence of Plasmodium falciparum parasites resistant to artemisinin derivatives in Southeast Asia and the risk of their spread or of local emergence in sub-Saharan Africa are a major threat to public health. This study thus set out to estimate the proportion of P. falciparum isolates, with Pfkelch13 gene mutations associated with artemisinin resistance previously detected in Southeast Asia. METHODS: Blood samples were collected in two sites of Bangui, the capital of the Central African Republic (CAR) from 2017 to 2019. DNA was extracted and nested PCR were carried out to detect Plasmodium species and mutations in the propeller domain of the Pfkelch13 gene for P. falciparum samples. RESULTS: A total of 255 P. falciparum samples were analysed. Plasmodium ovale DNA was found in four samples (1.57%, 4/255). Among the 187 samples with interpretable Pfkelch13 sequences, four samples presented a mutation (2.1%, 4/187), including one non-synonymous mutation (Y653N) (0.5%, 1/187). This mutation has never been described as associated with artemisinin resistance in Southeast Asia and its in vitro phenotype is unknown. CONCLUSION: This preliminary study indicates the absence of Pfkelch13 mutant associated with artemisinin resistance in Bangui. However, this limited study needs to be extended by collecting samples across the whole country along with the evaluation of in vitro and in vivo phenotype profiles of Pfkelch13 mutant parasites to estimate the risk of artemisinin resistance in the CAR.</t>
  </si>
  <si>
    <t>May</t>
  </si>
  <si>
    <t>#165</t>
  </si>
  <si>
    <t>s0119_mayengue_2018</t>
  </si>
  <si>
    <t>10.1186/s12879-018-3453-6</t>
  </si>
  <si>
    <t>Congo, Rep of</t>
  </si>
  <si>
    <t>No polymorphisms in K13-propeller gene associated with artemisinin resistance in Plasmodium falciparum isolated from Brazzaville, Republic of Congo.</t>
  </si>
  <si>
    <t>Mayengue PI; Niama RF; Kouhounina Batsimba D; Malonga-Massanga A; Louzolo I; Loukabou Bongolo NC; Macosso L; Ibara Ottia R; Kimbassa Ngoma G; Dossou-Yovo LR; Pembet Singana B; Ahombo G; Sekangue Obili G; Kobawila SC; Parra HJ</t>
  </si>
  <si>
    <t>BACKGROUND: In the Republic of Congo, artemisinin-based combinations have been recommended for the treatment of uncomplicated malaria since 2006. However, the emergence of resistant parasites again these combinations in Southeast Asia is a threat for the control of this disease, especially in sub-Saharan Africa where the weight of the disease is important. Indeed, polymorphisms in Plasmodium falciparum K13-propeller gene have been involved in variations of drug sensitivity of Plasmodium falciparum to artemisinin-based combinations. The aim of the current study is to determine the prevalence of mutations of this gene in isolates collected in three health centers in Brazzaville. METHODS: From May 2015 to May 2016, a total of 131, 259 and 416 samples from patients with suspected malaria were collected at the Laboratoire National de Santé Publique, Hôpital de Mfilou, and the CSI «Maman Mboualé» respectively. After DNA isolation, genotyping and sequencing of Plasmodium falciparum K13-propeller were performed in positive Plasmodium falciparum isolates identified after msp-2 gene genotyping. RESULTS: All 806 samples collected were msp-2 genotyped and Plasmodium falciparum infections were confirmed in 287 samples with 43, 85, 159 samples from Laboratoire National de Santé Publique, Hôpital de Mfilou, and the CSI «Maman Mboualé» respectively. Of these 287 msp-2 positives samples, K13-propeller nested PCR products were successfully obtained from 145 (50.52%) isolates and sequences were generated from 127(87.58%) nested products. None of mutations that were associated with ACTs resistance in Southeast Asia were detected on the samples from three different study sites from Brazzaville. However, one mutation type was observed at position 578, where alanine was substituted by serine (A578S) in two isolates (1.57%, 2/127), those from the Hôpital de Mfilou. No mutation was found in isolates from the two other sites. CONCLUSION: The current study shows a very limited polymorphism in the K13-propeller gene in isolates from the Republic of Congo and K13 polymorphisms associate with ACT resistance are not present in this country. However, permanent and large surveillance of resistant parasite population using K13-propeller gene is recommended.</t>
  </si>
  <si>
    <t>BMC Infect Dis</t>
  </si>
  <si>
    <t>#227</t>
  </si>
  <si>
    <t>s0120_yobi_2020</t>
  </si>
  <si>
    <t>10.1186/s12936-020-03192-x</t>
  </si>
  <si>
    <t>Democratic Rep of Congo</t>
  </si>
  <si>
    <t>Molecular surveillance of anti-malarial drug resistance in Democratic Republic of Congo: high variability of chloroquinoresistance and lack of amodiaquinoresistance.</t>
  </si>
  <si>
    <t>Yobi DM; Kayiba NK; Mvumbi DM; Boreux R; Kabututu PZ; Situakibanza HNT; Likwela JL; De Mol P; Okitolonda EW; Speybroeck N; Mvumbi GL; Hayette MP</t>
  </si>
  <si>
    <t>BACKGROUND: The loss of chloroquine (CQ) effectiveness has led to its withdrawal from national policies as a first-line treatment for uncomplicated malaria in several endemic countries, such as the Democratic Republic of Congo (DRC). The K76T mutation on the pfcrt gene has been identified as a marker of CQ resistance and the SVMNT haplotype in codons 72-76 on the same gene has been associated with resistance to amodiaquine (AQ). In the DRC, the prevalence of K76T has decreased from 100% in 2000 to 63.9% in 2014. The purpose of this study was to determine the prevalence of K76T mutations in circulating strains of Plasmodium falciparum, 16 years after CQ withdrawal in the DRC and to investigate the presence of the SVMNT haplotype. METHODS: In 2017, ten geographical sites across the DRC were selected. Dried blood samples were collected from patients attending health centres. Malaria was first detected by a rapid diagnostic test (RDT) available on site (SD Bioline Malaria Ag Pf or CareStart Malaria Pf) or thick blood smear and then confirmed by a P. falciparum species-specific real-time PCR assay. A pfcrt gene segment containing a fragment that encodes amino acids at positions 72-76 was amplified by conventional PCR before sequencing. RESULTS: A total of 1070 patients were enrolled. Of the 806 PCR-confirmed P. falciparum positive samples, 764 were successfully sequenced. The K76T mutation was detected in 218 samples (28.5%; 95% CI 25.4%-31.9%), mainly (96%) with the CVIET haplotype. Prevalence of CQ resistance marker was unequally distributed across the country, ranging from 1.5% in Fungurume to 89.5% in Katana. The SVMNT haplotype, related to AQ resistance, was not detected. CONCLUSION: Overall, the frequency of the P. falciparum CQ resistance marker has decreased significantly and no resistance marker to AQ was detected in the DRC in 2017. However, the between regions variability of CQ resistance remains high in the country. Further studies are needed for continuous monitoring of the CQ resistance level for its prospective re-use in malaria management. The absence of the AQ resistance marker is in line with the use of this drug in the current DRC malaria treatment policy.</t>
  </si>
  <si>
    <t>Mar</t>
  </si>
  <si>
    <t>#9</t>
  </si>
  <si>
    <t>s0121_li_2014</t>
  </si>
  <si>
    <t>10.1179/2047773214Y.0000000158</t>
  </si>
  <si>
    <t>Equatorial Guinea</t>
  </si>
  <si>
    <t>High prevalence of pfmdr1 N86Y and Y184F mutations in Plasmodium falciparum isolates from Bioko Island, Equatorial Guinea.</t>
  </si>
  <si>
    <t>Li J; Chen J; Xie D; Monte-Nguba SM; Eyi JU; Matesa RA; Obono MM; Ehapo CS; Yang L; Lu D; Yang H; Yang HT; Lin M</t>
  </si>
  <si>
    <t>OBJECTIVE: Drug resistance against Plasmodium falciparum has been recognized as the crucial obstacle to curbing mortality and morbidity from malaria. To investigate the distribution and pattern of multidrug resistance 1 (pfmdr1) gene polymorphisms in P. falciparum, isolates collected from the malaria high-endemic Bioko Island, Equatorial Guinea. METHODS: Blood samples were collected from 217 patients with P. falciparum malaria during rainy season in 2012 on Bioko Island. These samples were extracted using Chelex to obtain parasite DNA. Nest-polymerase chain reaction (PCR) and sequencing were employed to detect mutations (N86Y, E130K, Y184F, S1034C, N1042D, V1109I, and D1246Y) and haplotypes in pfmdr1 gene. RESULTS: A total of 151 samples were successfully detected for pfmdr1 mutations from the 217 patients. Pfmdr1 mutations were found in 91·39% (138/151) P. falciparum isolates. However, no mutation at 130 and 1109 was identified from these samples. Four haplotypes coding 86, 184, 1034, 1,042, and 1,246 were found including NYSND, YYSND, NFSND, and YFSND, which accounted for 8·61% (13/151), 2·65% (4/151), 29·80% (45/151), and 58·94% (89/151), respectively. CONCLUSIONS: Our results exhibited hypersensitivity to lumefantrine (LU) and mefloquine (MQ) and resistance to chloroquine (CQ) and amodiaquine (AQ) in P. falciparum isolates from Bioko Island. This information will be useful for anti-malarial drug policy in Equatorial Guinea.</t>
  </si>
  <si>
    <t>Pathog Glob Health</t>
  </si>
  <si>
    <t>#44</t>
  </si>
  <si>
    <t>s0122_li_2015</t>
  </si>
  <si>
    <t>10.1016/j.meegid.2015.08.039</t>
  </si>
  <si>
    <t>Molecular mutation profile of Pfcrt and Pfmdr1 in Plasmodium falciparum isolates from Bioko Island, Equatorial Guinea.</t>
  </si>
  <si>
    <t>Li J; Chen J; Xie D; Eyi UM; Matesa RA; Obono MMO; Ehapo CS; Yang L; Yang H; Lin M; Wu W; Wu K; Li S; Chen Z</t>
  </si>
  <si>
    <t>BACKGROUND: Antimalarial drug resistance is a primary public health problem. Haplotypes of pfcrt and pfmdr1 gene have been implicated to be molecular markers of chloroquine (CQ) resistance. This study aims to explore mutation distribution of Pfcrt and Pfmdr1 in Bioko Island, Equatorial Guinea (EG). METHODS: Blood samples were collected from different districts of Bioko. The single nucleotide polymorphisms in Pfcrt (codons 72 to 76) and Pfmdr1 (codons 86, 130, 184, 1034, 1042, 1109 and 1246) were assessed by nested PCR with DNA sequencing and haplotype prevalences were also determined. RESULTS: Analysis of Pfcrt and Pfmdr1 mutations was successful in 151 and 157 samples respectively out of the 172 samples taken for this study. The mutations of Pfcrt and Pfmdr1 were found in 98.67% and 89.81% isolates, respectively. The Pfcrt 74-76, Pfmdr1 86, and Pfmdr1 184 were 92.05%, 50.32%, and 87.26% found mostly of mutation type, respectively. Three haplotypes coding 72-76 of Pfcrt were found including CVMNK, CVIET, and CVM/I N/E K/T, which accounted for 1.33%, 92.05%, and 6.62%, respectively. No mutation in Pfmdr1-N1 codon at 130 and Pfmdr1-N2 (S1034C, N1042D, V1109I, and D1246Y) was detected. The types coding 86 and 184 in Pfmdr1 were found including NY, YY, NF, YF, NY/F and YY/F, which accounted for 10.19%, 2.55%, 33.76%, 45.22%, 5.73% and 2.55%, respectively. CONCLUSION: High prevalence of Pfcrt CVIET and Pfmdr1 86Y, 184F double mutations confirm high-level CQ resistance (CQR) and might suggest reduced susceptibility of Plasmodium falciparum isolates to AQ in Bioko, EG. It establishes fundamental data for detection of P. falciparum CQR with molecular markers and will promotes the surveillance level of drug resistance in Bioko, EG.</t>
  </si>
  <si>
    <t>Dec</t>
  </si>
  <si>
    <t>#321</t>
  </si>
  <si>
    <t>s0123_riloharivas_2021</t>
  </si>
  <si>
    <t>10.1186/s12936-021-03807-x</t>
  </si>
  <si>
    <t>Therapeutic efficacy of artesunate-amodiaquine and artemether-lumefantrine and polymorphism in Plasmodium falciparum kelch13-propeller gene in Equatorial Guinea.</t>
  </si>
  <si>
    <t>Riloha Rivas M; Warsame M; Mbá Andeme R; Nsue Esidang S; Ncogo PR; Phiri WP; Oki Eburi C; Edú Maye CE; Menard D; Legrand E; Berzosa P; Garcia L; Lao Seoane AK; Ntabangana SC; Ringwald P</t>
  </si>
  <si>
    <t>BACKGROUND: Artesunate-amodiaquine (ASAQ) and artemether-lumefantrine (AL) are the currently recommended first- and second-line therapies for uncomplicated Plasmodium falciparum infections in Equatorial Guinea. This study was designed to evaluate the efficacy of these artemisinin-based combinations and detect mutations in P. falciparum kelch13-propeller domain gene (Pfkelch13). METHODS: A single-arm prospective study evaluating the efficacy of ASAQ and AL at three sites: Malabo, Bata and Ebebiyin was conducted between August 2017 and July 2018. Febrile children aged six months to 10 years with confirmed uncomplicated P. falciparum infection and other inclusion criteria were sequentially enrolled first in ASAQ and then in AL at each site, and followed up for 28 days. Clinical and parasitological parameters were assessed. The primary endpoint was PCR-adjusted adequate clinical and parasitological response (ACPR). Samples on day-0 were analysed for mutations in Pfkelch13 gene. RESULTS: A total 264 and 226 patients were enrolled in the ASAQ and AL treatment groups, respectively. Based on per-protocol analysis, PCR-adjusted cure rates of 98.6% to 100% and 92.4% to 100% were observed in patients treated with ASAQ and AL, respectively. All study children in both treatment groups were free of parasitaemia by day-3. Of the 476 samples with interpretable results, only three samples carried non-synonymous Pfkelch13 mutations (E433D and A578S), and none of them is the known markers associated with artemisinin resistance. CONCLUSION: The study confirmed high efficacy of ASAQ and AL for the treatment of uncomplicated falciparum infections as well as the absence of delayed parasite clearance and Pfkelch13 mutations associated with artemisinin resistance. Continued monitoring of the efficacy of these artemisinin-based combinations, at least every two years, along with molecular markers associated with artemisinin and partner drug resistance is imperative to inform national malaria treatment policy and detect resistant parasites early. Trial registration ACTRN12617000456358, Registered 28 March 2017; http://www.anzctr.org.au/trial/MyTrial.aspx.</t>
  </si>
  <si>
    <t>#207</t>
  </si>
  <si>
    <t>s0124_hailemeskel_2019</t>
  </si>
  <si>
    <t>10.1016/j.ijpddr.2019.09.002</t>
  </si>
  <si>
    <t>Ethiopia</t>
  </si>
  <si>
    <t>Prevalence of Plasmodium falciparum Pfcrt and Pfmdr1 alleles in settings with different levels of Plasmodium vivax co-endemicity in Ethiopia.</t>
  </si>
  <si>
    <t>Hailemeskel E; Menberu T; Shumie G; Behaksra S; Chali W; Keffale M; Belachew M; Shitaye G; Mohammed H; Abebe D; Ashine T; Drakeley C; Mamo H; Petros B; Bousema T; Tadesse FG; Gadisa E</t>
  </si>
  <si>
    <t>Plasmodium falciparum and P. vivax co-exist at different endemicity levels across Ethiopia. For over two decades Artemether-Lumefantrine (AL) is the first line treatment for uncomplicated P. falciparum, while chloroquine (CQ) is still used to treat P. vivax. It is currently unclear whether a shift from CQ to AL for P. falciparum treatment has implications for AL efficacy and results in a reversal of mutations in genes associated to CQ resistance, given the high co-endemicity of the two species and the continued availability of CQ for the treatment of P. vivax. This study thus assessed the prevalence of Pfcrt-K76T and Pfmdr1-N86Y point mutations in P. falciparum. 18S RNA gene based nested PCR confirmed P. falciparum samples (N = 183) collected through community and health facility targeted cross-sectional surveys from settings with varying P. vivax and P. falciparum endemicity were used. The proportion of Plasmodium infections that were P. vivax was 62.2% in Adama, 41.4% in Babile, 30.0% in Benishangul-Gumuz to 6.9% in Gambella. The Pfcrt-76T mutant haplotype was observed more from samples with higher endemicity of P. vivax as being 98.4% (61/62), 100% (31/31), 65.2% (15/23) and 41.5% (22/53) in samples from Adama, Babile, Benishangul-Gumuz and Gambella, respectively. However, a relatively higher proportion of Pfmdr1-N86 allele (77.3-100%) were maintained in all sites. The observed high level of the mutant Pfcrt-76T allele in P. vivax co-endemic sites might require that utilization of CQ needs to be re-evaluated in settings co-endemic for the two species. A country-wide assessment is recommended to clarify the implication of the observed level of variation in drug resistance markers on the efficacy of AL-based treatment against uncomplicated P. falciparum malaria.</t>
  </si>
  <si>
    <t>Int J Parasitol Drugs Drug Resist</t>
  </si>
  <si>
    <t>#400</t>
  </si>
  <si>
    <t>s0125_hassen_2022</t>
  </si>
  <si>
    <t>10.1186/s12936-022-04304-5</t>
  </si>
  <si>
    <t>High prevalence of Pfcrt 76T and Pfmdr1 N86 genotypes in malaria infected patients attending health facilities in East Shewa zone, Oromia Regional State, Ethiopia.</t>
  </si>
  <si>
    <t>Hassen J; Alemayehu GS; Dinka H; Golassa L</t>
  </si>
  <si>
    <t>BACKGROUND: Plasmodium falciparum resistance to series of anti-malarial drugs is a major challenge in efforts to control and/or eliminate malaria globally. In 1998, following the widespread of chloroquine (CQ) resistant P. falciparum, Ethiopia switched from CQ to sulfadoxine-pyrimethamine (SP) and subsequently in 2004 from SP to artemether-lumefantrine (AL) for the treatment of uncomplicated falciparum malaria. Data on the prevalence of CQ resistance markers after more than two decades of its removal is important to map the selection pressure behind the targets codons of interest. The present study was conducted to determine the prevalence of mutations in Pfcrt K76T and Pfmdr1 N86Y codons among malaria-infected patients from Adama, Olenchiti and Metehara sites of East Shewa zone, Oromia Regional State, Ethiopia. METHODS: Finger-prick whole blood samples were collected on 3MM Whatman ® filter papers from a total of 121 microscopically confirmed P. falciparum infected patients. Extraction of parasite DNA was done by Chelex-100 method from dried blood spot (DBS). Genomic DNA template was used to amplify Pfcrt K76T and Pfmdr1 N86Y codons by nested PCR. Nested PCR products were subjected to Artherobacter protophormiae-I (APoI) restriction enzyme digestion to determine mutations at codons 76 and 86 of Pfcrt and Pfmdr1 genes, respectively. RESULTS: Of 83 P. falciparum isolates successfully genotyped for Pfcrt K76T, 91.6% carried the mutant genotypes (76T). The prevalence of Pfcrt 76T was 95.7%, 92.5% and 84.5% in Adama, Metehara and Olenchiti, respectively. The prevalence of Pfcrt 76T mutations in three of the study sites showed no statistical significance difference (χ(2) = 1.895; P = 0.388). On the other hand, of the 80 P. falciparum samples successfully amplified for Pfmdr1, all carried the wild-type genotypes (Pfmdr1 N86). CONCLUSION: Although CQ officially has been ceased for the treatment of falciparum malaria for more than two decades in Ethiopia, greater proportions of P. falciparum clinical isolates circulating in the study areas carry the mutant 76T genotypes indicating the presence of indirect CQ pressure in the country. However, the return of Pfmdr1 N86 wild-type allele may be favoured by the use of AL for the treatment of uncomplicated falciparum malaria.</t>
  </si>
  <si>
    <t>#441</t>
  </si>
  <si>
    <t>s0126_tadele_2023</t>
  </si>
  <si>
    <t>10.1186/s12936-023-04602-6</t>
  </si>
  <si>
    <t>Clinical isolates of uncomplicated falciparum malaria from high and low malaria transmission areas show distinct pfcrt and pfmdr1 polymorphisms in western Ethiopia.</t>
  </si>
  <si>
    <t>Tadele G; Jawara A; Oboh M; Oriero E; Dugassa S; Amambua-Ngwa A; Golassa L</t>
  </si>
  <si>
    <t>BACKGROUND: Pfcrt gene has been associated with chloroquine resistance and the pfmdr1 gene can alter malaria parasite susceptibility to lumefantrine, mefloquine, and chloroquine. In the absence of chloroquine (CQ) and extensive use of artemether-lumefantrine (AL) from 2004 to 2020 to treat uncomplicated falciparum malaria, pfcrt haplotype, and pfmdr1 single nucleotide polymorphisms (SNPs) were determined in two sites of West Ethiopia with a gradient of malaria transmission. METHODS: 230 microscopically confirmed P. falciparum isolates were collected from Assosa (high transmission area) and Gida Ayana (low transmission area) sites, of which 225 of them tested positive by PCR. High-Resolution Melting Assay (HRM) was used to determine the prevalence of pfcrt haplotypes and pfmdr1 SNPs. Furthermore, the pfmdr1 gene copy number (CNV) was determined using real-time PCR. A P-value of less or equal to 0.05 was considered significant. RESULTS: Of the 225 samples, 95.5%, 94.4%, 86.7%, 91.1%, and 94.2% were successfully genotyped with HRM for pfcrt haplotype, pfmdr1-86, pfmdr1-184, pfmdr1-1042 and pfmdr1-1246, respectively. The mutant pfcrt haplotypes were detected among 33.5% (52/155) and 80% (48/60) of isolates collected from the Assosa and Gida Ayana sites, respectively. Plasmodium falciparum with chloroquine-resistant haplotypes was more prevalent in the Gida Ayana area compared with the Assosa area (COR = 8.4, P = 0.00). Pfmdr1-N86Y wild type and 184F mutations were found in 79.8% (166/208) and 73.4% (146/199) samples, respectively. No single mutation was observed at the pfmdr1-1042 locus; however, 89.6% (190/212) of parasites in West Ethiopia carry the wild-type D1246Y variants. Eight pfmdr1 haplotypes at codons N86Y-Y184F-D1246Y were identified with the dominant NFD 61% (122/200). There was no difference in the distribution of pfmdr1 SNPs, haplotypes, and CNV between the two study sites (P &gt; 0.05). CONCLUSION: Plasmodium falciparum with the pfcrt wild-type haplotype was prevalent in high malaria transmission site than in low transmission area. The NFD haplotype was the predominant haplotype of the N86Y-Y184F-D1246Y. A continuous investigation is needed to closely monitor the changes in the pfmdr1 SNPs, which are associated with the selection of parasite populations by ACT.</t>
  </si>
  <si>
    <t>#493</t>
  </si>
  <si>
    <t>s0127_holzschuh_2024</t>
  </si>
  <si>
    <t>10.1111/mec.17292</t>
  </si>
  <si>
    <t>Plasmodium falciparum transmission in the highlands of Ethiopia is driven by closely related and clonal parasites.</t>
  </si>
  <si>
    <t>Holzschuh A; Ewnetu Y; Carlier L; Lerch A; Gerlovina I; Baker SC; Yewhalaw D; Haileselassie W; Berhane N; Lemma W; Koepfli C</t>
  </si>
  <si>
    <t>Malaria cases are frequently recorded in the Ethiopian highlands even at altitudes above 2000 m. The epidemiology of malaria in the Ethiopian highlands, and, in particular, the role of importation by human migration from the highly endemic lowlands is not well understood. We sequenced 187 Plasmodium falciparum samples from two sites in the Ethiopian highlands, Gondar (n = 159) and Ziway (n = 28), using a multiplexed droplet digital PCR (ddPCR)-based amplicon sequencing method targeting 35 microhaplotypes and drug resistance loci. Here, we characterize the parasite population structure and genetic relatedness. We identify moderate parasite diversity (mean H(E) : 0.54) and low infection complexity (74.9% monoclonal). A significant percentage of infections share microhaplotypes, even across transmission seasons and sites, indicating persistent local transmission. We identify multiple clusters of clonal or near-clonal infections, highlighting high genetic relatedness. Only 6.3% of individuals diagnosed with P. falciparum reported recent travel. Yet, in clonal or near-clonal clusters, infections of travellers were frequently observed first in time, suggesting that parasites may have been imported and then transmitted locally. 31.1% of infections are pfhrp2-deleted and 84.4% pfhrp3-deleted, and 28.7% have pfhrp2/3 double deletions. Parasites with pfhrp2/3 deletions and wild-type parasites are genetically distinct. Mutations associated with resistance to sulphadoxine-pyrimethamine or suggested to reduce sensitivity to lumefantrine are observed at near-fixation. In conclusion, genomic data corroborate local transmission and the importance of intensified control in the Ethiopian highlands.</t>
  </si>
  <si>
    <t>Mol Ecol</t>
  </si>
  <si>
    <t>#161</t>
  </si>
  <si>
    <t>s0128_voumbo-matoumona_2018</t>
  </si>
  <si>
    <t>10.2147/IDR.S160164</t>
  </si>
  <si>
    <t>Gabon</t>
  </si>
  <si>
    <t>Prevalence of Plasmodium falciparum antimalarial drug resistance genes in Southeastern Gabon from 2011 to 2014.</t>
  </si>
  <si>
    <t>Voumbo-Matoumona DF; Kouna LC; Madamet M; Maghendji-Nzondo S; Pradines B; Lekana-Douki JB</t>
  </si>
  <si>
    <t>PURPOSE: The introduction of artemisinin-based combination therapies (ACTs) in treating uncomplicated malaria and sulfadoxine-pyrimethamine (SP) as intermittent preventive treatment during pregnancy drastically decreased the burden of malarial disease around the world. However, ACTs are known to select for drug resistance markers. In Gabon, artemether-lumefantrine induced an increase in the prevalence of N86-Pfmdr1, which is associated with treatment failure. However, little data are available regarding resistance markers in Southeastern Gabon. This study aimed to evaluate the evolution of resistance haplotypes in the Pfcrt, Pfdhps, Pfdhfr, and PfK13 genes from 2011 to 2014 in Southeastern Gabon. METHODS: A total of 233 Plasmodium falciparum DNA samples were collected from febrile pediatric patients in South Gabon: Franceville, an urban area; Koulamoutou, a semi-urban area; and Lastourville, a rural area. Pfcrt, Pfdhps, Pfdhfr, and the propeller domain of PfK13 were sequenced for all isolates. RESULTS: The overall prevalence (3.7%-11.5%) of the wild-type haplotype Pfcrt 72-76 CVMNK was not significantly different between 2011 and 2014 in Southeast Gabon. For Pfdhfr (codons 51, 59, 108, 164), the IRNI triple-mutant haplotype was the most prevalent (&gt;89.0%). The ICNI and NCNI mutant haplotypes and the NCSI wild-type haplotype showed a minor prevalence. There were no differences in the distributions of these haplotypes across the 4 years and the three study sites. For Pfdhps, the AAKAA and SGKAA mutant haplotypes and the SAKAA wild-type haplotype were similarly present in the three areas during the study period. The AGKAA double mutant was first observed in 2013 in Franceville and in 2014 in Koulamoutou and Lastourville. Interestingly, only the A578S mutation (0.4%) and two new A494V (0.4%) and V504A (0.9%) mutations were found in PfK13. CONCLUSION: Despite the withdrawal of chloroquine, the frequency of the resistant allele 76T remained high in the south of Gabon. Moreover, a high level of resistant haplotypes against IPTp-SP was found.</t>
  </si>
  <si>
    <t>Infect Drug Resist</t>
  </si>
  <si>
    <t>#198</t>
  </si>
  <si>
    <t>s0129_woldearegai_2019</t>
  </si>
  <si>
    <t>10.1038/s41598-019-46194-9</t>
  </si>
  <si>
    <t>Characterization of Plasmodium infections among inhabitants of rural areas in Gabon.</t>
  </si>
  <si>
    <t>Woldearegai TG; Lalremruata A; Nguyen TT; Gmeiner M; Veletzky L; Tazemda-Kuitsouc GB; Matsiegui PB; Mordmüller B; Held J</t>
  </si>
  <si>
    <t>Plasmodium infections in endemic areas are often asymptomatic, can be caused by different species and contribute significantly to transmission. We performed a cross-sectional study in February/March 2016 including 840 individuals ≥ 1 year living in rural Gabon (Ngounié and Moyen-Ogooué). Plasmodium parasitemia was measured by high-sensitive, real-time quantitative PCR. In a randomly chosen subset of P. falciparum infections, gametocyte carriage and prevalence of chloroquine-resistant genotypes were analysed. 618/834 (74%) individuals were positive for Plasmodium 18S-rRNA gene amplification, of these 553 (66.3%) carried P. falciparum, 193 (23%) P. malariae, 74 (8.9%) P. ovale curtisi and 38 (4.6%) P.ovale wallikeri. Non-falciparum infections mostly presented as mixed infections. P. malariae monoinfected individuals were significantly older (median age: 60 years) than coinfected (20 years) or P. falciparum monoinfected individuals (23 years). P. falciparum gametocyte carriage was confirmed in 109/223 (48.9%) individuals, prevalence of chloroquine-resistant genotypes was high (298/336, 89%), including four infections with a new SVMNK genotype. In rural Gabon, Plasmodium infections with all endemic species are frequent, emphasizing that malaria control efforts shall cover asymptomatic infections also including non-falciparum infections when aiming for eradication.</t>
  </si>
  <si>
    <t>Sci Rep</t>
  </si>
  <si>
    <t>#209</t>
  </si>
  <si>
    <t>s0130_nguyen_2019</t>
  </si>
  <si>
    <t>10.1186/s12936-019-2972-y</t>
  </si>
  <si>
    <t>DNA recovery from archived RDTs for genetic characterization of Plasmodium falciparum in a routine setting in Lambaréné, Gabon.</t>
  </si>
  <si>
    <t>Nguyen TT; Nzigou Mombo B; Lalremruata A; Koehne E; Zoleko Manego R; Dimessa Mbadinga LB; Adegnika AA; Agnandji ST; Lell B; Kremsner PG; Velavan TP; Ramharter M; Mordmüller B; Mombo-Ngoma G</t>
  </si>
  <si>
    <t>BACKGROUND: Rapid diagnostic tests (RDTs) have been described as a source of genetic material to analyse malaria parasites in proof-of-concept studies. The increasing use of RDTs (e.g., in focal or mass screening and treatment campaigns) makes this approach particularly attractive for large-scale investigations of parasite populations. In this study, the complexity of Plasmodium falciparum infections, parasite load and chloroquine resistance transporter gene mutations were investigated in DNA samples extracted from positive RDTs, obtained in a routine setting and archived at ambient temperature. METHODS: A total of 669 archived RDTs collected from malaria cases in urban, semi-urban and rural areas of central Gabon were used for P. falciparum DNA extraction. Performance of RDTs as a source of DNA for PCR was determined using: (i) amplification of a single copy merozoite surface protein 1 (msp1) gene followed by highly sensitive and automated capillary electrophoresis; (ii) genotyping of the pfcrt gene locus 72-76 using haplotype-specific-probe-based real-time PCR to characterize chloroquine resistance; and, (iii) real-time PCR targeting 18S genes to detect and quantify Plasmodium parasites. RESULTS: Out of the 669 archived RDTs, amplification of P. falciparum nucleic materials had a success rate of 97% for 18S real-time PCR, and 88% for the msp1 gene. The multiplicity of infections (MOI) of the whole population was 2.6 (95% CI 2.5-2.8). The highest number of alleles detected in one infection was 11. The MOI decreased with increasing age (β = - 0.0046, p = 0.02) and residence in Lambaréné was associated with smaller MOIs (p &lt; 0.001). The overall prevalence of mutations associated with chloroquine resistance was 78.5% and was not associated with age. In Lambaréné, prevalence of chloroquine resistance was lower compared to rural Moyen-Ogooué (β = - 0.809, p-value = 0.011). CONCLUSION: RDT is a reliable source of DNA for P. falciparum detection and genotyping assays. Furthermore, the increasing use of RDTs allows them to be an alternative source of DNA for large-scale genetic epidemiological studies. Parasite populations in the study area are highly diverse and prevalence of chloroquine-resistant P. falciparum remains high, especially in rural areas.</t>
  </si>
  <si>
    <t>#217</t>
  </si>
  <si>
    <t>s0131_adegbite_2019</t>
  </si>
  <si>
    <t>10.1186/s12936-019-3015-4</t>
  </si>
  <si>
    <t>Monitoring of efficacy, tolerability and safety of artemether-lumefantrine and artesunate-amodiaquine for the treatment of uncomplicated Plasmodium falciparum malaria in Lambaréné, Gabon: an open-label clinical trial.</t>
  </si>
  <si>
    <t>Adegbite BR; Edoa JR; Honkpehedji YJ; Zinsou FJ; Dejon-Agobe JC; Mbong-Ngwese M; Lotola-Mougueni F; Koehne E; Lalremruata A; Kreidenweiss A; Nguyen TT; Kun J; Agnandji ST; Lell B; Safiou AR; Obone Atome FA; Mombo-Ngoma G; Ramharter M; Velavan TP; Mordmüller B; Kremsner PG; Adegnika AA</t>
  </si>
  <si>
    <t>BACKGROUND: Malaria remains a major public health problem, affecting mainly low-and middle-income countries. The management of this parasitic disease is challenged by ever increasing drug resistance. This study, investigated the therapeutic efficacy, tolerability and safety of artemether-lumefantrine (AL) and artesunate-amodiaquine (AS-AQ), used as first-line drugs to treat uncomplicated malaria in Lambaréné, Gabon. METHODS: A non-randomized clinical trial was conducted between October 2017 and March 2018 to assess safety, clinical and parasitological efficacy of fixed-doses of AL and AS-AQ administered to treat uncomplicated Plasmodium falciparum malaria in children aged from 6 months to 12 years. After 50 children were treated with AL, another 50 children received ASAQ. The 2009 World Health Organization protocol for monitoring of the efficacy of anti‑malarial drugs was followed. Molecular markers msp1 and msp2 were used to differentiate recrudescence and reinfection. For the investigation of artemisinin resistant markers, gene mutations in Pfk13 were screened. RESULTS: Per-protocol analysis on day 28 showed a PCR corrected cure rate of 97% (95% CI 86-100) and 95% (95% CI 84-99) for AL and AS-AQ, respectively. The most frequent adverse event in both groups was asthenia. No mutations in the kelch-13 gene associated with artemisinin resistance were identified. All participants had completed microscopic parasite clearance by day 3 post-treatment. CONCLUSION: This study showed that AL and AS-AQ remain efficacious, well-tolerated, and are safe to treat uncomplicated malaria in children from Lambaréné. However, a regular monitoring of efficacy and a study of molecular markers of drug resistance to artemisinin in field isolates is essential. Trial registration ANZCTR, ACTRN12616001600437. Registered 18 November, http://www.anzctr.org.au/TrialSearch.aspx?searchTxt=ACTRN12616001600437p&amp;isBasic=True.</t>
  </si>
  <si>
    <t>#326</t>
  </si>
  <si>
    <t>s0132_ontoua_2021</t>
  </si>
  <si>
    <t>10.2147/IDR.S304361</t>
  </si>
  <si>
    <t>Differential Prevalences of Pfmdr1 Polymorphisms in Symptomatic and Asymptomatic Plasmodium falciparum Infections in Lastoursville: A Rural Area in East-Central Gabon.</t>
  </si>
  <si>
    <t>Ontoua SS; Kouna LC; Oyegue-Liabagui SL; Voumbo-Matoumona DF; Moukodoum DN; Imboumy-Limoukou RK; Lekana-Douki JB</t>
  </si>
  <si>
    <t>PURPOSE: Plasmodium falciparum malaria remains a major public health challenge in sub-Saharan Africa. Plasmodium falciparum drug resistance mediated by polymorphisms in the Pfmdr1 gene contributes to the persistence of the disease on the African continent. This study investigated P. falciparum infection features and differences in the Pfmdr1 genotypes between symptomatic and asymptomatic malaria cases in a rural area in east-central Gabon. PATIENTS AND METHODS: A total of 875 children aged from 5 to 185 months were screened for P falciparum infection using Optima-IT(®) rapid diagnostic tests and standard microscopy. Pfmdr1 polymorphisms at codons 86, 184 and 1246 were investigated using PCR-RFLP. RESULTS: Among the 448 P. falciparum-infected children, 57.08% (n=250) were symptomatic and 42.92% (n=198) were asymptomatic (p &lt; 0.0001). In a sub-set of 79 isolates, the Pfmdr1 wild-type N86 was more prevalent in symptomatic (100%) than in asymptomatic infections (70.7%) (p=0.007). The mutant 86Y and mixed 86N/Y genotypes were observed only in asymptomatic infections. The Y184 and 184F genotype prevalences (39.1% vs 19.4% and 60.9% vs 80.6%, respectively) were not significantly different between the two groups (p=0.097). The prevalence of the wild-type D1246 differed significantly between symptomatic (10.3%) and asymptomatic (100%) (p &lt; 0.0001). The NFD and YFD haplotypes were more prevalent in asymptomatic than in symptomatic infections [(61.9% vs 31%; p=0.005) and (16.7% vs 0.0%; p=0.01)], whereas the NYD and YYD haplotypes were not significantly different between the two groups [(21.4% vs 14.3%, p=0.39) and (0.0% vs 7.1%, p=0.24)]. CONCLUSION: Our results confirm a high transmission of P. falciparum infection in rural Gabon, with a high prevalence of asymptomatic carriage. The higher prevalences of wild-type N86 in symptomatic infections and of D1246 in asymptomatic infections suggest a pathogenicity associated with polymorphisms in Pfmdr1. These results highlight the need to monitor the efficacy of artemisinin-based combination therapies in Gabon.</t>
  </si>
  <si>
    <t>#238</t>
  </si>
  <si>
    <t>s0134_narh_2020</t>
  </si>
  <si>
    <t>10.1093/infdis/jiaa286</t>
  </si>
  <si>
    <t>Ghana</t>
  </si>
  <si>
    <t>Evolution of Antimalarial Drug Resistance Markers in the Reservoir of Plasmodium falciparum Infections in the Upper East Region of Ghana.</t>
  </si>
  <si>
    <t>Narh CA; Ghansah A; Duffy MF; Ruybal-Pesántez S; Onwona CO; Oduro AR; Koram KA; Day KP; Tiedje KE</t>
  </si>
  <si>
    <t>BACKGROUND: The majority of Plasmodium falciparum infections, constituting the reservoir in all ages, are asymptomatic in high-transmission settings in Africa. The role of this reservoir in the evolution and spread of drug resistance was explored. METHODS: Population genetic analyses of the key drug resistance-mediating polymorphisms were analyzed in a cross-sectional survey of asymptomatic P. falciparum infections across all ages in Bongo District, Ghana. RESULTS: Seven years after the policy change to artemisinin-based combination therapies in 2005, the pfcrt K76 and pfmdr1 N86 wild-type alleles have nearly reached fixation and have expanded via soft selective sweeps on multiple genetic backgrounds. By constructing the pfcrt-pfmdr1-pfdhfr-pfdhps multilocus haplotypes, we found that the alleles at these loci were in linkage equilibrium and that multidrug-resistant parasites have not expanded in this reservoir. For pfk13, 32 nonsynonymous mutations were identified; however, none were associated with artemisinin-based combination therapy resistance. CONCLUSIONS: The prevalence and selection of alleles/haplotypes by antimalarials were similar to that observed among clinical cases in Ghana, indicating that they do not represent 2 subpopulations with respect to these markers. Thus, the P. falciparum reservoir in all ages can contribute to the maintenance and spread of antimalarial resistance.</t>
  </si>
  <si>
    <t>J Infect Dis</t>
  </si>
  <si>
    <t>#252</t>
  </si>
  <si>
    <t>s0135_aninagyei_2020</t>
  </si>
  <si>
    <t>10.1186/s12879-020-05266-2</t>
  </si>
  <si>
    <t>Cecile</t>
  </si>
  <si>
    <t>Characterization of putative drug resistant biomarkers in Plasmodium falciparum isolated from Ghanaian blood donors.</t>
  </si>
  <si>
    <t>Aninagyei E; Duedu KO; Rufai T; Tetteh CD; Chandi MG; Ampomah P; Acheampong DO</t>
  </si>
  <si>
    <t>BACKGROUND: Plasmodium falciparum parasites, which could harbour anti-malaria drug resistance genes, are commonly detected in blood donors in malaria-endemic areas. Notwithstanding, anti-malaria drug resistant biomarkers have not been characterized in blood donors with asymptomatic P. falciparum infection. METHODS: A total of 771 blood donors were selected from five districts in the Greater Accra Region, Ghana. Each donor sample was screened with malaria rapid diagnostic test (RDT) kit and parasitaemia quantified microscopically. Dried blood spots from malaria positive samples were genotyped for P. falciparum chloroquine resistance transporter (Pfcrt), P. falciparum multi-drug resistance (Pfmdr1), P. falciparum dihydropteroate-synthetase (Pfdhps), P. falciparum dihydrofolate-reductase (Pfdhfr) and Kelch 13 propeller domain on chromosome 13 (Kelch 13) genes. RESULTS: Of the 771 blood donors, 91 (11.8%) were positive by RDT. Analysis of sequence reads indicated successful genotyping of Pfcrt, Pfmdr1, Pfdhfr, Pfdhps and Kelch 13 genes in 84.6, 81.3, 86.8, 86.9 and 92.3% of the isolates respectively. Overall, 21 different mutant haplotypes were identified in 69 isolates (75.8%). In Pfcrt, CVIET haplotype was observed in 11.6% samples while in Pfmdr1, triple mutation (resulting in YFN haplotype) was detected in 8.1% of isolates. In Pfdhfr gene, triple mutation resulting in IRNI haplotype and in Pfdhps gene, quintuple mutation resulting in AGESS haplotype was identified in 17.7% parasite isolates. Finally, five non-synonymous Kelch 13 alleles were detected; C580Y (3.6%), P615L (4.8%), A578S (4.8%), I543V (2.4%) and A676S (1.2%) were detected. CONCLUSION: Results obtained in this study indicated various frequencies of mutant alleles in Pfcrt, Pfmdr1, Pfdhfr, Pfdhps and Kelch 13 genes from P. falciparum infected blood donors. These alleles could reduce the efficacy of standard malaria treatment in transfusion-transmitted malaria cases. Incorporating malaria screening into donor screening protocol to defer infected donors is therefore recommended.</t>
  </si>
  <si>
    <t>#277</t>
  </si>
  <si>
    <t>s0136_myers-hansen_2020</t>
  </si>
  <si>
    <t>10.1371/journal.pone.0233478</t>
  </si>
  <si>
    <t>Assessment of antimalarial drug resistant markers in asymptomatic Plasmodium falciparum infections after 4 years of indoor residual spraying in Northern Ghana.</t>
  </si>
  <si>
    <t>Myers-Hansen JL; Abuaku B; Oyebola MK; Mensah BA; Ahorlu C; Wilson MD; Awandare G; Koram KA; Ngwa AA; Ghansah A</t>
  </si>
  <si>
    <t>BACKGROUND: Drug resistance remains a concern for malaria control and elimination. The effect of interventions on its prevalence needs to be monitored to pre-empt further selection. We assessed the prevalence of Plasmodium falciparum gene mutations associated with resistance to the antimalarial drugs: sulfadoxine-pyrimethamine (SP), chloroquine (CQ) and artemisinin combination therapy (ACTs) after the scale-up of a vector control activity that reduced transmission. METHODS: A total of 400 P. falciparum isolates from children under five years were genotyped for seventeen single nucleotide polymorphisms (SNPs) in pfcrt, pfmdr1, pfdhfr, pfdhps and pfk13 genes using polymerase chain reaction (PCR) and high resolution melting (HRM) analysis. These included 80 isolates, each randomly selected from cross-sectional surveys of asymptomatic infections across 2010 (baseline), 2011, 2012, 2013 (midline: post-IRS) and 2014 (endline: post-IRS) during the peak transmission season, when IRS intervention was rolled out in Bunkpurugu Yunyoo (BY) District, Ghana. The proportions of isolates with drug resistant alleles were assessed over this period. RESULTS: There were significant decreases in the prevalence of pfdhfr- I51R59N108 haplotype from 2010 to 2014, while the decline in pfdhfr/pfdhps- I51R59N108G437 during the same period was not significant. The prevalence of lumefantrine (LM), mefloquine (MQ) and amodiaquine (AQ) resistance-associated haplotypes pfmdr1-N86F184D1246 and pfmdr1-Y86Y184Y1246 showed decreasing trends (z = -2.86, P = 0.004 and z = -2.71, P = 0.007, respectively). Each of pfcrt-T76 and pfmdr1-Y86 mutant alleles also showed a declining trend in the asymptomatic reservoir, after the IRS rollout in 2014 (z = -2.87, P = 0.004 and z = -2.65, P = 0.008, respectively). Similarly, Pyrimethamine resistance mediating polymorphisms pfdhfr-N108, pfdhfr-I51 and pfdhfr-R59 also declined (z = -2.03, P = 0.042, z = -3.54, P&lt;0.001 and z = -4.63, P&lt;0.001, respectively), but not the sulphadoxine resistance mediating pfdhps-G437 and pfdhps-F436 (z = -0.36, P = 0.715 and z = 0.41, P = 0.684, respectively). No mutant pfk13-Y580 were detected during the study period. CONCLUSION: The study demonstrated declining trends in the prevalence of drug resistant mutations in asymptomatic P. falciparum infections following transmission reduction after an enhanced IRS intervention in Northern Ghana.</t>
  </si>
  <si>
    <t>#353</t>
  </si>
  <si>
    <t>s0137_asare_2021</t>
  </si>
  <si>
    <t>10.1186/s12936-021-03985-8</t>
  </si>
  <si>
    <t>The emergence of chloroquine-sensitive Plasmodium falciparum is influenced by selected communities in some parts of the Central Region of Ghana.</t>
  </si>
  <si>
    <t>Asare KK; Africa J; Mbata J; Opoku YK</t>
  </si>
  <si>
    <t>BACKGROUND: The return of chloroquine-sensitive Plasmodium falciparum in sub-Saharan Africa countries offers the opportunity for the reintroduction of chloroquine (CQ) either in combination with other drugs or as a single therapy for the management of malaria. This study assesses the influence of individual study sites on the selection of CQ sensitive P. falciparum markers in the Central region of Ghana. METHODS: Genomic DNA was extracted from an archived filter paper blood blot from Cape Coast, Elmina, Assin Fosu, and Twifo Praso using the Chelex DNA extraction method. The age metadata of the patients from whom the blood spots were taken was collected. The prevalence of CQ-sensitive markers of pfcrt K76 and pfmdr1 N86 was performed using nested PCR and RFLP. The data were analysed using Chi-square and Odd ratio. RESULTS: The overall prevalence of CQ-sensitive P. falciparum markers, pfcrt K76 and pfmdr1 N86 in the Central Region of Ghana were 142 out of 184 (77.17%) and 180 out of 184 (97.83%), respectively. The distribution of pfcrt K76 was assessed among the age groups per the individual study sites. 12 out of 33 (36.36%), 8 out of 33 (24.24%) and 6 out of 33 (18.18%) of pfcrt K76 CQ-sensitive marker were isolated from age 0 to 5 years, 16 to 30 years and 31 to 45 years old respectively at Cape Coast. Assin Fosu and Twifo Praso had the highest pfcrt K76 prevalence in 0-5 years, followed by 16-30 years and 6-15 years of age. The results showed that there was a significant prevalence of pfcrt K76 in all study sites; Cape Coast (χ(2) = 26.48, p &lt; 0.0001), Assin Fosu (χ(2) = 37.67, p &lt; 0.0001), Twifo Praso (χ(2) = 32.25, p &lt; 0.0001) and Elmina (χ(2) = 17.88, p &lt; 0.0001). Again, the likelihood to detect pfcrt K76 (OR (95% CI) was 7.105 (3.118-17.14), p &lt; 0.0001 and pfmdr1 (2.028 (1.065-3.790), p &lt; 0.001) among P. falciparum isolates from Cape Coast to be seven times and two times, respectively. CONCLUSION: The study showed a significant selection and expansion of chloroquine-sensitive P. falciparum markers in all the selected study areas in the Central region. This finding has a significant implication for the future treatment, management, and control of P. falciparum malaria.</t>
  </si>
  <si>
    <t>#476</t>
  </si>
  <si>
    <t>s0139_dieng_2023</t>
  </si>
  <si>
    <t>10.1186/s12879-023-08812-w</t>
  </si>
  <si>
    <t>Distribution of Plasmodium falciparum K13 gene polymorphisms across transmission settings in Ghana.</t>
  </si>
  <si>
    <t>Dieng CC; Morrison V; Donu D; Cui L; Amoah L; Afrane Y; Lo E</t>
  </si>
  <si>
    <t>Malaria is a significant global health concern, with a majority of cases in Sub-Saharan African nations. Numerous antimalarial drugs have been developed to counter the rampant prevalence of Plasmodium falciparum malaria. Artemisinin-based Combination Therapy (ACT) has served as the primary treatment of uncomplicated malaria in Ghana since 2005. However, a growing concern has emerged due to the escalating reports of ACT resistance, particularly in Southeast Asia, and its encroachment into Africa. Specifically, mutations in the Kelch propeller domain on chromosome 13 (Pfk13) have been linked to ACT resistance. Yet, our understanding of mutation prevalence in Africa remains largely uncharted. In this study, we compared Pfk13 sequences obtained from 172 P. falciparum samples across three ecological and transmission zones in Ghana. We identified 27 non-synonymous mutations among these sequences, of which two of the mutations, C580Y (found in two samples from the central region) and Y493H (found in one sample from the north), had previously been validated for their association with artemisinin resistance, a phenomenon widespread in Southeast Asia. The Pfk13 gene diversity was most pronounced in the northern savannah than the central forest and south coastal regions, where transmission rates are lower. The observed mutations were not significantly associated with geographical regions, suggesting a frequent spread of mutations across the country. The ongoing global surveillance of artemisinin resistance remains pivotal, and our findings provides insights into the potential spread of resistant parasites in West Africa. Furthermore, the identification of novel codon mutations in this study raises their potential association to ACT resistance, warranting further investigation through in vitro assays to ascertain their functional significance.</t>
  </si>
  <si>
    <t>#477</t>
  </si>
  <si>
    <t>s0140_girgis_2023</t>
  </si>
  <si>
    <t>10.1038/s41564-023-01516-6</t>
  </si>
  <si>
    <t>Drug resistance and vaccine target surveillance of Plasmodium falciparum using nanopore sequencing in Ghana.</t>
  </si>
  <si>
    <t>Girgis ST; Adika E; Nenyewodey FE; Senoo Jnr DK; Ngoi JM; Bandoh K; Lorenz O; van de Steeg G; Harrott AJR; Nsoh S; Judge K; Pearson RD; Almagro-Garcia J; Saiid S; Atampah S; Amoako EK; Morang'a CM; Asoala V; Adjei ES; Burden W; Roberts-Sengier W; Drury E; Pierce ML; Gonçalves S; Awandare GA; Kwiatkowski DP; Amenga-Etego LN; Hamilton WL</t>
  </si>
  <si>
    <t>Malaria results in over 600,000 deaths annually, with the highest burden of deaths in young children living in sub-Saharan Africa. Molecular surveillance can provide important information for malaria control policies, including detection of antimalarial drug resistance. However, genome sequencing capacity in malaria-endemic countries is limited. We designed and implemented an end-to-end workflow to detect Plasmodium falciparum antimalarial resistance markers and diversity in the vaccine target circumsporozoite protein (csp) using nanopore sequencing in Ghana. We analysed 196 clinical samples and showed that our method is rapid, robust, accurate and straightforward to implement. Importantly, our method could be applied to dried blood spot samples, which are readily collected in endemic settings. We report that P. falciparum parasites in Ghana are mostly susceptible to chloroquine, with persistent sulfadoxine-pyrimethamine resistance and no evidence of artemisinin resistance. Multiple single nucleotide polymorphisms were identified in csp, but their significance is uncertain. Our study demonstrates the feasibility of nanopore sequencing for malaria genomic surveillance in endemic countries.</t>
  </si>
  <si>
    <t>Nat Microbiol</t>
  </si>
  <si>
    <t>#242</t>
  </si>
  <si>
    <t>s0141_beavogui_2020</t>
  </si>
  <si>
    <t>10.1186/s12936-020-03290-w</t>
  </si>
  <si>
    <t>Guinea</t>
  </si>
  <si>
    <t>Efficacy and safety of artesunate-amodiaquine and artemether-lumefantrine and prevalence of molecular markers associated with resistance, Guinea: an open-label two-arm randomised controlled trial.</t>
  </si>
  <si>
    <t>Beavogui AH; Camara A; Delamou A; Diallo MS; Doumbouya A; Kourouma K; Bouedouno P; Guilavogui T; Dos Santos Souza S; Kelley J; Talundzic E; Fofana A; Plucinski MM</t>
  </si>
  <si>
    <t>BACKGROUND: Anti-malarial resistance is a threat to recent gains in malaria control. This study aimed to assess the efficacy and safety of artesunate-amodiaquine (ASAQ) and artemether-lumefantrine (AL) in the management of uncomplicated malaria and to measure the prevalence of molecular markers of resistance of Plasmodium falciparum in sentinel sites in Maferinyah and Labé Health Districts in Guinea in 2016. METHODS: This was a two-arm randomised controlled trial of the efficacy of AL and ASAQ among children aged 6-59 months with uncomplicated Plasmodium falciparum malaria in two sites. Children were followed for 28 days to assess clinical and parasitological response. The primary outcome was the Kaplan-Meier estimate of Day 28 (D28) efficacy after correction by microsatellite-genotyping. Pre-treatment (D0) and day of failure samples were assayed for molecular markers of resistance in the pfk13 and pfmdr1 genes. RESULTS: A total of 421 participants were included with 211 participants in the Maferinyah site and 210 in Labé. No early treatment failure was observed in any study arms. However, 22 (5.3%) participants developed a late treatment failure (8 in the ASAQ arm and 14 in the AL arm), which were further classified as 2 recrudescences and 20 reinfections. The Kaplan-Meier estimate of the corrected efficacy at D28 was 100% for both AL and ASAQ in Maferinyah site and 99% (95% Confidence Interval: 97.2-100%) for ASAQ and 99% (97.1-100%) for AL in Labé. The majority of successfully analysed D0 (98%, 380/389) and all day of failure (100%, 22/22) samples were wild type for pfk13. All 9 observed pfk13 mutations were polymorphisms not associated with artemisinin resistance. The NFD haplotype was the predominant haplotype in both D0 (197/362, 54%) and day of failure samples (11/18, 61%) successfully analysed for pfmdr1. CONCLUSION: This study observed high efficacy and safety of both ASAQ and AL in Guinea, providing evidence for their continued use to treat uncomplicated malaria. Continued monitoring of ACT efficacy and safety and molecular makers of resistance in Guinea is important to detect emergence of parasite resistance and to inform evidence-based malaria treatment policies.</t>
  </si>
  <si>
    <t>#343</t>
  </si>
  <si>
    <t>s0142_beavogui_2021</t>
  </si>
  <si>
    <t>10.1645/19-199</t>
  </si>
  <si>
    <t>SELECTION OF PFCRT 76T AND PFMDR1 86Y MUTANT PLASMODIUM FALCIPARUM AFTER TREATMENT OF UNCOMPLICATED MALARIA WITH ARTESUNATE-AMODIAQUINE IN REPUBLIC OF GUINEA.</t>
  </si>
  <si>
    <t>Beavogui AH; Diawara EY; Cherif MS; Delamou A; Diallo N; Traore A; Millimouno P; Camara D; Sylla MM; Toure AA; Diallo MS; Toure S; Togo A; Camara G; Kourouma K; Sagara I; Dicko A; Djimde A</t>
  </si>
  <si>
    <t>The use of Amodiaquine monotherapy is associated with the selection of molecular markers of Plasmodium falciparum resistance to chloroquine (pfcrt and pfmdr1). The decrease in sensitivity and the emergence of P. falciparum resistant to artemisinin-based combination therapy have been reported. Therefore, it is important to assess the impact of treatment of uncomplicated malaria with Artesunate-Amodiaquine (AS+AQ) on molecular markers of antimalarial resistance. We used standard World Health Organization (WHO) protocols to determine the in vivo efficacy of the combination (AS+AQ). In total, 170 subjects were included in the study. The molecular analysis focused on 168 dried blood spots. The aims were to determine the frequency of pfcrt 76T and pfmdr1 86Y mutations and the rates of reinfection using polymorphism markers msp1, msp2, and microsatellite markers (CA1, Ta87, TA99). Nested-PCR was used, followed in some cases by a restriction digestion. The level of P. falciparum clinical response was 92.9% (156/168) of Adequate Clinical and Parasitological Response (ACPR) before molecular correction and 97.0% (163/168) after molecular correction (P = 0.089). The frequency of mutation point pfcrt 76T was 76.2% (128/168) before treatment and 100% (7/7) after treatment (P = 0.1423). For the pfmdr1 mutation, the frequency was 28% (47/168) before treatment and 60% (6/10) after treatment (P = 0.1124). The rate of pfcrt 76T + pfmdr1 86Y was 22% (37/168) before and 50% (6/12) after treatment (P = 0.1465). Despite the presence of AS in the combination, AS+AQ selects for pfcrt 76T and pfmdr1 86Y mutant P. falciparum in Guinea.</t>
  </si>
  <si>
    <t>J Parasitol</t>
  </si>
  <si>
    <t>#432</t>
  </si>
  <si>
    <t>s0143_moss_2023</t>
  </si>
  <si>
    <t>10.1038/s41598-023-33176-1</t>
  </si>
  <si>
    <t>Guinea-Bissau</t>
  </si>
  <si>
    <t>Population dynamics and drug resistance mutations in Plasmodium falciparum on the Bijagós Archipelago, Guinea-Bissau.</t>
  </si>
  <si>
    <t>Moss S; Mańko E; Vasileva H; Da Silva ET; Goncalves A; Osborne A; Phelan J; Rodrigues A; Djata P; D'Alessandro U; Mabey D; Krishna S; Last A; Clark TG; Campino S</t>
  </si>
  <si>
    <t>Following integrated malaria control interventions, malaria burden on the Bijagós Archipelago has significantly decreased. Understanding the genomic diversity of circulating Plasmodium falciparum malaria parasites can assist infection control, through identifying drug resistance mutations and characterising the complexity of population structure. This study presents the first whole genome sequence data for P. falciparum isolates from the Bijagós Archipelago. Amplified DNA from P. falciparum isolates sourced from dried blood spot samples of 15 asymptomatic malaria cases were sequenced. Using 1.3 million SNPs characterised across 795 African P. falciparum isolates, population structure analyses revealed that isolates from the archipelago cluster with samples from mainland West Africa and appear closely related to mainland populations; without forming a separate phylogenetic cluster. This study characterises SNPs associated with antimalarial drug resistance on the archipelago. We observed fixation of the PfDHFR mutations N51I and S108N, associated with resistance to sulphadoxine-pyrimethamine, and the continued presence of PfCRT K76T, associated with chloroquine resistance. These data have relevance for infection control and drug resistance surveillance; particularly considering expected increases in antimalarial drug use following updated WHO recommendations, and the recent implementation of seasonal malaria chemoprevention and mass drug administration in the region.</t>
  </si>
  <si>
    <t>#397</t>
  </si>
  <si>
    <t>s0146_zhou_2022</t>
  </si>
  <si>
    <t>10.1186/s12936-022-04284-6</t>
  </si>
  <si>
    <t>Kenya</t>
  </si>
  <si>
    <t>Temporal trends in molecular markers of drug resistance in Plasmodium falciparum in human blood and profiles of corresponding resistant markers in mosquito oocysts in Asembo, western Kenya.</t>
  </si>
  <si>
    <t>Zhou Z; Gimnig JE; Sergent SB; Liu Y; Abong'o B; Otieno K; Chebore W; Shah MP; Williamson J; Ter Kuile FO; Hamel MJ; Kariuki S; Desai M; Samuels AM; Walker ED; Shi YP</t>
  </si>
  <si>
    <t>BACKGROUND: Over the last two decades, the scale-up of vector control and changes in the first-line anti-malarial, from chloroquine (CQ) to sulfadoxine-pyrimethamine (SP) and then to artemether-lumefantrine (AL), have resulted in significant decreases in malaria burden in western Kenya. This study evaluated the long-term effects of control interventions on molecular markers of Plasmodium falciparum drug resistance using parasites obtained from humans and mosquitoes at discrete time points. METHODS: Dried blood spot samples collected in 2012 and 2017 community surveys in Asembo, Kenya were genotyped by Sanger sequencing for markers associated with resistance to SP (Pfdhfr, Pfdhps), CQ, AQ, lumefantrine (Pfcrt, Pfmdr1) and artemisinin (Pfk13). Temporal trends in the prevalence of these markers, including data from 2012 to 2017 as well as published data from 1996, 2001, 2007 from same area, were analysed. The same markers from mosquito oocysts collected in 2012 were compared with results from human blood samples. RESULTS: The prevalence of SP dhfr/dhps quintuple mutant haplotype C(50)I(51)R(59)N(108)I(164)/S(436)G(437)E(540)A(581)A(613) increased from 19.7% in 1996 to 86.0% in 2012, while an increase in the sextuple mutant haplotype C(50)I(51)R(59)N(108)I(164)/H(436)G(437)E(540)A(581)A(613) containing Pfdhps-436H was found from 10.5% in 2012 to 34.6% in 2017. Resistant Pfcrt-76 T declined from 94.6% in 2007 to 18.3% in 2012 and 0.9% in 2017. Mutant Pfmdr1-86Y decreased across years from 74.8% in 1996 to zero in 2017, mutant Pfmdr1-184F and wild Pfmdr1-D1246 increased from 17.9% to 58.9% in 2007 to 55.9% and 90.1% in 2017, respectively. Pfmdr1 haplotype N(86)F(184)S(1034)N(1042)D(1246) increased from 11.0% in 2007 to 49.6% in 2017. No resistant mutations in Pfk13 were found. Prevalence of Pfdhps-436H was lower while prevalence of Pfcrt-76 T was higher in mosquitoes than in human blood samples. CONCLUSION: This study showed an increased prevalence of dhfr/dhps resistant markers over 20 years with the emergence of Pfdhps-436H mutant a decade ago in Asembo. The reversal of Pfcrt from CQ-resistant to CQ-sensitive genotype occurred following 19 years of CQ withdrawal. No Pfk13 markers associated with artemisinin resistance were detected, but the increased haplotype of Pfmdr1 N(86)F(184)S(1034)N(1042)D(1246) was observed. The differences in prevalence of Pfdhps-436H and Pfcrt-76 T SNPs between two hosts and the role of mosquitoes in the transmission of drug resistant parasites require further investigation.</t>
  </si>
  <si>
    <t>#492</t>
  </si>
  <si>
    <t>s0147_jeang_2024</t>
  </si>
  <si>
    <t>10.1186/s12936-023-04812-y</t>
  </si>
  <si>
    <t>Kenya, Ethiopia</t>
  </si>
  <si>
    <t>Molecular surveillance of Kelch 13 polymorphisms in Plasmodium falciparum isolates from Kenya and Ethiopia.</t>
  </si>
  <si>
    <t>Jeang B; Zhong D; Lee MC; Atieli H; Yewhalaw D; Yan G</t>
  </si>
  <si>
    <t>BACKGROUND: Timely molecular surveillance of Plasmodium falciparum kelch 13 (k13) gene mutations is essential for monitoring the emergence and stemming the spread of artemisinin resistance. Widespread artemisinin resistance, as observed in Southeast Asia, would reverse significant gains that have been made against the malaria burden in Africa. The purpose of this study was to assess the prevalence of k13 polymorphisms in western Kenya and Ethiopia at sites representing varying transmission intensities between 2018 and 2022. METHODS: Dried blood spot samples collected through ongoing passive surveillance and malaria epidemiological studies, respectively, were investigated. The k13 gene was genotyped in P. falciparum isolates with high parasitaemia: 775 isolates from four sites in western Kenya (Homa Bay, Kakamega, Kisii, and Kombewa) and 319 isolates from five sites across Ethiopia (Arjo, Awash, Gambella, Dire Dawa, and Semera). DNA sequence variation and neutrality were analysed within each study site where mutant alleles were detected. RESULTS: Sixteen Kelch13 haplotypes were detected in this study. Prevalence of nonsynonymous k13 mutations was low in both western Kenya (25/783, 3.19%) and Ethiopia (5/319, 1.57%) across the study period. Two WHO-validated mutations were detected: A675V in three isolates from Kenya and R622I in four isolates from Ethiopia. Seventeen samples from Kenya carried synonymous mutations (2.17%). No synonymous mutations were detected in Ethiopia. Genetic variation analyses and tests of neutrality further suggest an excess of low frequency polymorphisms in each study site. Fu and Li's F test statistic in Semera was 0.48 (P &gt; 0.05), suggesting potential population selection of R622I, which appeared at a relatively high frequency (3/22, 13.04%). CONCLUSIONS: This study presents an updated report on the low frequency of k13 mutations in western Kenya and Ethiopia. The WHO-validated R622I mutation, which has previously only been reported along the north-west border of Ethiopia, appeared in four isolates collected from eastern Ethiopia. The rapid expansion of R622I across Ethiopia signals the need for enhanced monitoring of the spread of drug-resistant P. falciparum parasites in East Africa. Although ACT remains currently efficacious in the study areas, continued surveillance is necessary to detect early indicators of artemisinin partial resistance.</t>
  </si>
  <si>
    <t>#163</t>
  </si>
  <si>
    <t>s0148_martínez-pérez_2018</t>
  </si>
  <si>
    <t>10.1186/s12936-018-2506-z</t>
  </si>
  <si>
    <t>Liberia</t>
  </si>
  <si>
    <t>Prevalence of Plasmodium falciparum infection among pregnant women at first antenatal visit in post-Ebola Monrovia, Liberia.</t>
  </si>
  <si>
    <t>Martínez-Pérez G; Lansana DP; Omeonga S; Gupta H; Breeze-Barry B; González R; Bardají A; Sarukhan A; Goteh JDK; Tody E; Cisteró P; Benda B; Kercula JD; Kibungu FD; Meyer García-Sípido A; Bassat Q; Tarr-Attia CK; Mayor A</t>
  </si>
  <si>
    <t>BACKGROUND: Disruption of malaria control strategies during the West African 2014-2016 Ebola epidemic led to an increase in malaria-attributable mortality. However, recent data on malaria infection in vulnerable groups, such as pregnant women, are lacking in this post-Ebola scenario. This cross-sectional study aimed to assess the prevalence of Plasmodium falciparum infection and of molecular markers of drug resistance among pregnant women attending antenatal care in Monrovia, capital of Liberia. METHODS: From October 2016 to June 2017, all pregnant women attending their first antenatal care visit at the Saint Joseph's Catholic Hospital, Monrovia, were invited to participate in the study. In addition to their routine antenatal care tests, capillary blood spotted onto filter papers were collected from all consenting participants to determine presence of P. falciparum by real-time quantitative PCR. Molecular markers of anti-malarial drug resistance were assessed through Sanger sequencing and quantitative PCR in specimens positive for P. falciparum analysis. RESULTS: Of the 195 women participants, 24 (12.3%) were P. falciparum-positive by qPCR. Infected women tended to be more commonly primigravidae and younger than uninfected ones. Parasite densities were higher in primigravidae. Fever was more frequently detected among the infected women. No statistically significant association between P. falciparum infection and haemoglobin levels or insecticide-treated net use was found. While high prevalence of genetic polymorphisms associated with chloroquine and amodiaquine resistance were detected, no molecular markers of artemisinin resistance were observed. CONCLUSION: Plasmodium falciparum infections are expected to occur in at least one in every eight women attending first ANC at private clinics in Monrovia and outside the peak of the rainy season. Young primigravidae are at increased risk of P. falciparum infection. Molecular analyses did not provide evidence of resistance to artemisinins among the P. falciparum isolates tested. Further epidemiological studies involving pregnant women are necessary to describe the risk of malaria in this highly susceptible group outside Monrovia, as well as to closely monitor the emergence of resistance to anti-malarials, as recommended by the Liberian National Malaria Control Programme.</t>
  </si>
  <si>
    <t>#317</t>
  </si>
  <si>
    <t>s0151_diarra_2021</t>
  </si>
  <si>
    <t>10.1186/s12936-021-03760-9</t>
  </si>
  <si>
    <t>Mali</t>
  </si>
  <si>
    <t>Therapeutic efficacy of artemether-lumefantrine and artesunate-amodiaquine for the treatment of uncomplicated Plasmodium falciparum malaria in Mali, 2015-2016.</t>
  </si>
  <si>
    <t>Diarra Y; Koné O; Sangaré L; Doumbia L; Haidara DBB; Diallo M; Maiga A; Sango HA; Sidibé H; Mihigo J; Nace D; Ljolje D; Talundzic E; Udhayakumar V; Eckert E; Woodfill CJ; Moriarty LF; Lim P; Krogstad DJ; Halsey ES; Lucchi NW; Koita OA</t>
  </si>
  <si>
    <t>BACKGROUND: The current first-line treatments for uncomplicated malaria recommended by the National Malaria Control Programme in Mali are artemether-lumefantrine (AL) and artesunate-amodiaquine (ASAQ). From 2015 to 2016, an in vivo study was carried out to assess the clinical and parasitological responses to AL and ASAQ in Sélingué, Mali. METHODS: Children between 6 and 59 months of age with uncomplicated Plasmodium falciparum infection and 2000-200,000 asexual parasites/μL of blood were enrolled, randomly assigned to either AL or ASAQ, and followed up for 42 days. Uncorrected and PCR-corrected efficacy results at days 28 and 42. were calculated. Known markers of resistance in the Pfk13, Pfmdr1, and Pfcrt genes were assessed using Sanger sequencing. RESULTS: A total of 449 patients were enrolled: 225 in the AL group and 224 in the ASAQ group. Uncorrected efficacy at day 28 was 83.4% (95% CI 78.5-88.4%) in the AL arm and 93.1% (95% CI 89.7-96.5%) in the ASAQ arm. The per protocol PCR-corrected efficacy at day 28 was 91.0% (86.0-95.9%) in the AL arm and 97.1% (93.6-100%) in the ASAQ arm. ASAQ was significantly (p &lt; 0.05) better than AL for each of the aforementioned efficacy outcomes. No mutations associated with artemisinin resistance were identified in the Pfk13 gene. Overall, for Pfmdr1, the N86 allele and the NFD haplotype were the most common. The NFD haplotype was significantly more prevalent in the post-treatment than in the pre-treatment isolates in the AL arm (p &lt; 0.01) but not in the ASAQ arm. For Pfcrt, the CVIET haplotype was the most common. CONCLUSIONS: The findings indicate that both AL and ASAQ remain effective for the treatment of uncomplicated malaria in Sélingué, Mali.</t>
  </si>
  <si>
    <t>#197</t>
  </si>
  <si>
    <t>s0156_dokunmu_2019</t>
  </si>
  <si>
    <t>10.1186/s12936-019-2833-8</t>
  </si>
  <si>
    <t>Nigeria</t>
  </si>
  <si>
    <t>Asymptomatic malaria infections and Pfmdr1 mutations in an endemic area of Nigeria.</t>
  </si>
  <si>
    <t>Dokunmu TM; Adjekukor CU; Yakubu OF; Bello AO; Adekoya JO; Akinola O; Amoo EO; Adebayo AH</t>
  </si>
  <si>
    <t>BACKGROUND: Malaria eradication globally is yet to be achieved and transmission is sustained in many endemic countries. Plasmodium falciparum continues to develop resistance to currently available anti-malarial drugs, posing great problems for malaria elimination. This study evaluates the frequencies of asymptomatic infection and multidrug resistance-1 (mdr-1) gene mutations in parasite isolates, which form the basis for understanding persistently high incidence in South West, Nigeria. METHODS: A total of 535 individuals aged from 6 months were screened during the epidemiological survey evaluating asymptomatic transmission. Parasite prevalence was determined by histidine-rich protein II rapid detection kit (RDT) in healthy individuals. Plasmodium falciparum mdr-1 gene mutations were detected by polymerase chain reaction (PCR) followed by restriction enzyme digest and electrophoresis to determine polymorphism in parasite isolates. Sequencing was done to confirm polymorphism. Proportions were compared using Chi-square test at p value &lt; 0.05. RESULTS: Malaria parasites were detected by RDT in 204 (38.1%) individuals. Asymptomatic infection was detected in 117 (57.3%) and symptomatic malaria confirmed in 87 individuals (42.6%). Overall, individuals with detectable malaria by RDT was significantly higher in individuals with symptoms, 87 of 197 (44.2%), than asymptomatic persons; 117 of 338 (34.6%), p = 0.02. In a sub-set of 75 isolates, 18(24%) and 14 (18.6%) individuals had Pfmdr1 86Y and 1246Y mutations. CONCLUSIONS: There is still high malaria transmission rate in Nigeria with higher incidence of asymptomatic infections. These parasites harbour mutations on Pfmdr1 which contribute to artemisinin partner drug resistance; surveillance strategies to reduce the spread of drug resistance in endemic areas are needed to eliminate the reservoir of malaria parasites that can mitigate the eradication of malaria in Nigeria.</t>
  </si>
  <si>
    <t>#210</t>
  </si>
  <si>
    <t>s0157_ikegbunam_2019</t>
  </si>
  <si>
    <t>10.1186/s12936-019-2977-6</t>
  </si>
  <si>
    <t>Analysis of Plasmodium falciparum Pfcrt and Pfmdr1 genes in parasite isolates from asymptomatic individuals in Southeast Nigeria 11 years after withdrawal of chloroquine.</t>
  </si>
  <si>
    <t>Ikegbunam MN; Nkonganyi CN; Thomas BN; Esimone CO; Velavan TP; Ojurongbe O</t>
  </si>
  <si>
    <t>BACKGROUND: A reversal of chloroquine (CQ) resistance following a period of withdrawal has raised the possibility of its re-introduction. This study evaluated the current prevalence of Pfcrt and Pfmdr1 alleles in Plasmodium falciparum isolates, 11 years after CQ withdrawal in Southeast Nigeria. METHODS: Filter-paper blood samples were collected from 725 non-febrile individuals, comprising 250 children (≤ 12 years), 250 pregnant women and 225 other adults, between October 2014 and February 2015 in Nnewi town, Southeast Nigeria. Nested PCR followed by direct sequencing was employed for the genotyping of Pfcrt and Pfmdr1 genes. RESULTS: A total of 103 parasites-positive samples were recovered, comprising of 48 (19.20%) among children, 20 (20.00%) among pregnant women and 35 (15.50%) among other adults cohort. The frequency of the mutant genotype of Pfcrt 76T, 75E and 74I was 94.50% each. Parasite isolates from children had a frequency of 100% for mutant alleles in all Pfcrt codons while isolates from pregnant women and other adults had a frequency of 91% each in all codons. Haplotype distribution of pfcrt gene were 5.45, 0.00 and 76.37% for CVMNK, SVMNT and CVIET, respectively. For Pfmdr1 gene, the frequency of 86Y, 184F and 1246Y mutant alleles were 8.54, 29.27 and 3.66%, respectively. Amongst the Pfmdr1 haplotypes analysed, NFD had the highest frequency of 24.4%, followed by YFD at 6.10%. NYF and NYY occurred the least (1.20%). CONCLUSION: The high level of Pfcrt mutations is suggestive of a sustained CQ pressure on P. falciparum isolates in the study area, despite the change of first line treatment from CQ to artemisinin combination therapy for 11 years. A new strategy to ensure the complete withdrawal of CQ from the country is recommended.</t>
  </si>
  <si>
    <t>#306</t>
  </si>
  <si>
    <t>s0160_chijioke-nwauche_2021</t>
  </si>
  <si>
    <t>10.1093/trstmh/trab061</t>
  </si>
  <si>
    <t>Antimalarial drug resistance markers in human immunodeficiency virus (HIV)-positive and HIV-negative adults with asymptomatic malaria infections in Port Harcourt, Nigeria.</t>
  </si>
  <si>
    <t>Chijioke-Nwauche I; Oguike MC; Nwauche CA; Beshir KB; Sutherland CJ</t>
  </si>
  <si>
    <t>BACKGROUND: In Nigeria, indiscriminate use of antimalarial drugs may contribute to the threat of drug resistance, but this has not been evaluated among people living with human immunodeficiency virus (HIV). METHODS: HIV-positive adults attending a university hospital HIV clinic and HIV-negative adult volunteers from the university hospital community with a positive blood film were treated with artemether-lumefantrine. Parasite DNA from before and after treatment was polymerase chain reaction amplified to identify molecular markers of drug susceptibility. RESULTS: The pfcrt76T genotype was prevalent among both HIV-positive and HIV-negative participants (78.6% and 68.2%, respectively). Three new mutations in the pfmdr1 gene-F73S, S97L and G165R-and the uncommon pfdhps S436F variant were detected, whereas pfdhps K540E and pfdhfr I164L were absent. The A437G allele of pfdhps predominated (62/66 [94%]). The I431 V mutation was found in 19 of 66 pretreatment pfdhps sequences (28.8%). The pfmdr1 86N allele was significantly more common at day 3 post-treatment than at baseline (odds ratio 8.77 [95% confidence interval 1.21 to 380]). CONCLUSIONS: We found evidence of continued chloroquine use among HIV-positive individuals. Selection for the pfmdr1 86N after artemether-lumefantrine treatment was observed, indicating a possible threat to antimalarial efficacy in the study area. The complexity of pfdhps haplotypes emphasises the need for careful monitoring of anti-folate susceptibility in Nigeria.</t>
  </si>
  <si>
    <t>Trans R Soc Trop Med Hyg</t>
  </si>
  <si>
    <t>#332</t>
  </si>
  <si>
    <t>s0161_agomo_2021</t>
  </si>
  <si>
    <t>10.1016/j.meegid.2021.105042</t>
  </si>
  <si>
    <t>Mutations in Pfcrt and Pfmdr1 genes of Plasmodium falciparum isolates from two sites in Northcentral and Southwest Nigeria.</t>
  </si>
  <si>
    <t>Agomo CO; Mishra N; Olukosi YA; Gupta R; Kamlesh K; Aina OO; Awolola ST</t>
  </si>
  <si>
    <t>The ability of malaria parasites to develop resistance to antimalarial drugs has made it necessary to continuously survey malaria parasite populations for resistance markers. Mutations in specific malaria parasite genes confer resistance to antimalarial drugs. The study compared mutations in Pfcrt and Pfmdr1 genes of P. falciparum from two ecologically different areas of Nigeria. Plasmodium falciparum dried blood spots collected from New Bussa (Northcentral Nigeria) and Ijede (Southwest Nigeria) were analysed by PCR-RFLP for Pfcrt, K76 T, Pfmdr1, N86Y and Y184F mutations. Pfmdr1 copy number was determined by quantitative-PCR. A total of 145 blood spots [Ijede = 55; New Bussa = 90 blood spots] were analysed, but Pfcrt gene was successfully amplified in 144 samples while Pfmdr1 was amplified in 132 samples. Overall, prevalence of mutant forms of Pfcrt 76 T,Pfmdr1 86Y and 184F were 74.3% (95% CI: 66.4-81.2%), 18.2% (95% CI: 12.0-25.8%) and 35.6% (95% CI: 27.5-44.4%). The frequency of Pfcrt 76 T was similar in both study sites [Ijede: 81.8% (95%CI: 69.1-90.9%); New Bussa: 69.7% (95%CI: 59.0-79.0), p = 0.105]. However, the frequencies of Pfmdr1 86Y and 184F were significantly higher in Ijede (28.3% and 62.3%) than in New Bussa (11.4% and 17.7%), respectively (P &lt; 0.05). Eight parasite genotypes based on three codons of the two genes were identified. The most frequent genotype was TNY 53(40.5%) while the least was KYF 1 (0.8%). The most frequent genotype in Ijede and New Bussa were TNF 18(34.0%) and TNY 40 (51.3%) respectively. The frequency of wild strain KNF in Ijede and New Bussa were 3 (5.7%) and 18 (23.1%), respectively. The distribution of the genotypes differed significantly by location. The genotypes with more than two or more mutations were more in Ijede 32 (60.4%) than in New Bussa 16 (20.5%) (p &lt; 0.001). Amplification of Pfmdr1 copy number was not observed in the two study sites. The prevalence of Pfcrt 76 T was similar in both locations while Pfmdr1 86Y and 184F differed in both locations. Single nucleotide polymorphisms in the three codons assessed were more in Ijede than in New Bussa.</t>
  </si>
  <si>
    <t>#358</t>
  </si>
  <si>
    <t>s0164_chen_2021</t>
  </si>
  <si>
    <t>10.1186/s12936-021-04007-3</t>
  </si>
  <si>
    <t>Sao Tome</t>
  </si>
  <si>
    <t>Dynamic changes in genetic diversity, drug resistance mutations, and treatment outcomes of falciparum malaria from the low-transmission to the pre-elimination phase on the islands of São Tomé and Príncipe.</t>
  </si>
  <si>
    <t>Chen YA; Shiu TJ; Tseng LF; Cheng CF; Shih WL; de Assunção Carvalho AV; Tsai KH</t>
  </si>
  <si>
    <t>BACKGROUND: With effective vector control and case management, substantial progress has been made towards eliminating malaria on the islands of São Tomé and Príncipe (STP). This study assessed the dynamic changes in the genetic diversity of Plasmodium falciparum, the anti-malarial drug resistance mutations, and malaria treatment outcomes between 2010 and 2016 to provide insights for the prevention of malaria rebounding. METHODS: Polymorphic regions of merozoite surface proteins 1 and 2 (msp1 and msp2) were sequenced in 118 dried blood spots (DBSs) collected from malaria patients who had visited the Central Hospital in 2010-2016. Mutations in the multi-drug resistance I (pfmdr1), chloroquine resistance transporter (pfcrt), and kelch 13 (pfk13) genes were analysed by polymerase chain reaction-restriction fragment length polymorphism (PCR-RFLP) and sequencing in 111 DBSs. A total of 7482 cases that completed a 28-day follow-up were evaluated for treatment outcomes based on the microscopic results. Regression models were used to characterize factors associated with levels of parasite density and treatment failures. RESULTS: Parasite strains in STP showed significant changes during and after the peak incidence in 2012. The prevalent allelic type in msp1 changed from K1 to MAD20, and that in msp2 changed from 3D7/IC to FC27. The dominant alleles of drug-resistance markers were pfmdr1 86Y, 184F, D1246, and pfcrt 76 T (Y-F-D-T, 51.4%). The average parasite density in malaria cases declined threefold from low-transmission (2010-2013) to pre-elimination period (2014-2016). Logistic regression models showed that patients with younger age (OR for age = 0.97-0.98, p &lt; 0.001), higher initial parasite density (log(10)-transformed, OR = 1.44, p &lt; 0.001), and receiving quinine treatment (compared to artemisinin-based combination therapy, OR = 1.91-1.96, p &lt; 0.001) were more likely to experience treatment failures during follow-up. CONCLUSIONS: Plasmodium falciparum in STP had experienced changes in prevalent strains, and increased mutation frequencies in drug-resistance genes from the low-transmission to the pre-elimination settings. Notably, patients with younger age and receiving quinine treatment were more likely to show parasitological treatment failure during follow-up. Therapeutic efficacy should be carefully monitored to inform future treatment policy in STP.</t>
  </si>
  <si>
    <t>#15</t>
  </si>
  <si>
    <t>s0165_torrentino-madamet_2014</t>
  </si>
  <si>
    <t>10.1186/1475-2875-13-472</t>
  </si>
  <si>
    <t>Senegal</t>
  </si>
  <si>
    <t>Limited polymorphisms in k13 gene in Plasmodium falciparum isolates from Dakar, Senegal in 2012-2013.</t>
  </si>
  <si>
    <t>Torrentino-Madamet M; Fall B; Benoit N; Camara C; Amalvict R; Fall M; Dionne P; Ba Fall K; Nakoulima A; Diatta B; Diemé Y; Ménard D; Wade B; Pradines B</t>
  </si>
  <si>
    <t>BACKGROUND: The emergence of Plasmodium falciparum resistance to artemisinin and its derivatives, manifested as delayed parasite clearance following the treatment, has developed in Southeast Asia. The spread of resistance to artemisinin from Asia to Africa may be catastrophic for malaria control and elimination worldwide. Recently, mutations in the propeller domain of the Kelch 13 (k13) gene (PF3D71343700) were associated with in vitro resistance to artemisinin and with delayed clearance after artemisinin treatment in southern Asia. The aim of the study was to characterize the genetic variability of k13 and to evaluate the molecular resistance to artemisinin for the first time in Senegal. METHODS: Plasmodium falciparum isolates were collected from 138 malaria patients in Dakar and its districts during the rainy season of October 2012 to January 2013 at the Hôpital Principal de Dakar. The k13 gene was amplified using nested PCR and sequenced. RESULTS: A very limited variability within the k13 gene in Senegalese P. falciparum isolates was identified. No polymorphism was detected in the six k13-propeller blades. Only two mutations, T149S (6.3%) and K189T (42.2%), and one (N) or two (NN) asparagine insertion at the codon 142 (4.7 and 6.3%, respectively) were detected in the Plasmodium/Apicomplexa-specific domain. None of the polymorphisms associated with artemisinin resistance in Southeast Asia was detected in the 138 P. falciparum from Dakar. DISCUSSION: The present data do not suggest widespread artemisinin resistance in Dakar in 2012-2013. Notably, the C580Y, R539T or Y493H substitutions that were associated with in vitro resistance or delayed parasite clearance in Southeast Asia were not observed in Dakar, nor were any of the polymorphisms observed in parasites from Southeast Asia, nor the M476I mutation that was selected in vitro with artemisinin pressure in a African parasite line.</t>
  </si>
  <si>
    <t>#110</t>
  </si>
  <si>
    <t>s0167_madamet_2017</t>
  </si>
  <si>
    <t>10.1016/j.ijantimicag.2017.01.032</t>
  </si>
  <si>
    <t>Absence of association between polymorphisms in the K13 gene and the presence of Plasmodium falciparum parasites at day 3 after treatment with artemisinin derivatives in Senegal.</t>
  </si>
  <si>
    <t>Madamet M; Kounta MB; Wade KA; Lo G; Diawara S; Fall M; Bercion R; Nakoulima A; Fall KB; Benoit N; Gueye MW; Fall B; Diatta B; Pradines B</t>
  </si>
  <si>
    <t>In 2006, the Senegalese National Malaria Control Programme recommended artemisinin-based combination therapy as first-line treatment for uncomplicated malaria. In addition, intravenous (i.v.) injection of artesunate and artemether has gradually replaced quinine for the treatment of severe malaria. Mutations in the propeller domain of the Kelch 13 gene (K13-propeller, PF3D71343700), such as Y493H, R539T, I543T and C580Y, were recently associated with in vivo and in vitro resistance to artemisinin in Southeast Asia. However, these mutations were not identified in Africa. In total, 181 isolates of Plasmodium falciparum from 161 patients from Dakar, Senegal, were collected between August 2015 and January 2016. The K13-propeller gene of the isolates was sequenced. A search for non-synonymous mutations in the propeller region of K13 was performed in the 181 isolates collected from Dakar from 2015 to 2016. Three synonymous mutations were detected (D464D, C469C and R471R). Of 119 patients treated with i.v. artesunate or intramuscular artemether followed by artemether/lumefantrine, 9 patients were still parasitaemic on Day 3. Parasites from these nine patients were wild-type for K13-propeller. None of the polymorphisms known to be involved in artemisinin resistance in Asia were detected. These results suggest that K13 is not the best predictive marker for artemisinin resistance in Africa. More isolates from clinical failure cases or patients with delayed parasite clearance after treatment with artemisinin derivatives are necessary to identify new molecular markers.</t>
  </si>
  <si>
    <t>Int J Antimicrob Agents</t>
  </si>
  <si>
    <t>#264</t>
  </si>
  <si>
    <t>s0171_delandre_2020</t>
  </si>
  <si>
    <t>10.1016/j.ijantimicag.2020.106190</t>
  </si>
  <si>
    <t>Absence of association between polymorphisms in the pfcoronin and pfk13 genes and the presence of Plasmodium falciparum parasites after treatment with artemisinin derivatives in Senegal.</t>
  </si>
  <si>
    <t>Delandre O; Daffe SM; Gendrot M; Diallo MN; Madamet M; Kounta MB; Diop MN; Bercion R; Sow A; Ngom PM; Lo G; Benoit N; Amalvict R; Fonta I; Mosnier J; Diawara S; Wade KA; Fall M; Fall KB; Fall B; Pradines B</t>
  </si>
  <si>
    <t>Due to resistance to chloroquine and sulfadoxine/pyrimethamine, treatment for uncomplicated Plasmodium falciparum malaria switched to artemisinin-based combination therapy (ACT) in 2006 in Senegal. Several mutations in the gene encoding the kelch13 helix (pfk13-propeller) have been identified as associated with in vitro and in vivo artemisinin resistance in Southeast Asia. Additionally, three mutations in the pfcoronin gene (G50E, R100K and E107V) have been identified in two culture-adapted Senegalese field isolates that became resistant in vitro to artemisinin after 4 years of intermittent selection with dihydroartemisinin. The aims of this study were to assess the prevalence of pfcoronin and pfk13 mutations in Senegalese field isolates from Dakar and to investigate their association with artemisinin derivative clinical failures. A total of 348 samples of P. falciparum from 327 patients, collected from 2015-2019 in Dakar, were successfully analysed. All sequences had wild-type pfk13 allele. The three mutations (G50E, R100K and E107V), previously identified in parasites with reduced susceptibility to artemisinin, were not found in this study, but a new mutation (P76S) was detected (mean prevalence 16.2%). The P76S mutation was identified in 5 (31.3%) of 16 isolates collected from patients still parasitaemic on Day 3 after ACT treatment and in 31 samples (15.3%) among 203 patients considered successfully cured. There was no significant association between in vivo reduced efficacy to artemisinin derivatives and the P76S mutation (P = 0.151, Fisher's exact test). These data suggest that polymorphisms in pfk13 and pfcoronin are not the best predictive markers for artemisinin resistance in Senegal.</t>
  </si>
  <si>
    <t>#302</t>
  </si>
  <si>
    <t>s0172_ahouidi_2021</t>
  </si>
  <si>
    <t>10.1371/journal.pone.0249357</t>
  </si>
  <si>
    <t>Prevalence of pfk13 and pfmdr1 polymorphisms in Bounkiling, Southern Senegal.</t>
  </si>
  <si>
    <t>Ahouidi A; Oliveira R; Lobo L; Diedhiou C; Mboup S; Nogueira F</t>
  </si>
  <si>
    <t>BACKGROUND: Delayed Plasmodium falciparum parasite clearance has been associated with Single Nucleotide Polymorphisms (SNPs) in the kelch protein propeller domain (coded by pfk13 gene). SNPs in the Plasmodium falciparum multidrug resistance gene 1 (pfmdr1) are associated with multi-drug resistance including the combination artemether-lumefantrine. To our knowledge, this is the first work providing information on the prevalence of k13-propeller and pfmdr1 mutations from Sédhiou, a region in the south of Senegal. METHODS: 147 dried blood spots on filter papers were collected from symptomatic patients attending a hospital located in Bounkiling City, Sédhiou Region, Southern Senegal. All samples were collected between 2015-2017 during the malaria transmission season. Specific regions of the gene pfk13 and pfmdr1 were analyzed using PCR amplification and Sanger sequencing. RESULTS: The majority of parasites (92.9%) harboured the pfk13 wild type sequence and 6 samples harboured synonymous changes. Regarding pfmdr1, wild-type alleles represented the majority except at codon 184. Overall, prevalence of 86Y was 11.9%, 184F was 56.3% and 1246Y was 1.5%. The mutant allele 184F decreased from 73.7% in 2015 to 40.7% in 2017. The prevalence of haplotype NFD decreased from 71.4% in 2015 to 20.8% in 2017. CONCLUSIONS: This study provides the first description of pfk13 and pfmdr1 genes variations in Bounkiling, a city in the Sédhiou Region of Senegal, contributing to closing the gap of information on anti-malaria drug resistance molecular markers in southern Senegal.</t>
  </si>
  <si>
    <t>#420</t>
  </si>
  <si>
    <t>s0173_yade_2023</t>
  </si>
  <si>
    <t>10.21203/rs.3.rs-2538775/v1</t>
  </si>
  <si>
    <t>Ex vivo RSA and Pfkelch13 targeted-amplicon deep sequencing reveal parasites susceptibility to artemisinin in Senegal, 2017.</t>
  </si>
  <si>
    <t>Yade MS; Dièye B; Coppée R; Mbaye A; Diallo MA; Diongue K; Bailly J; Mama A; Fall A; Thiaw AB; Ndiaye IM; Ndiaye T; Gaye A; Tine A; Diédhiou Y; Mbaye AM; Doderer-Lang C; Garba MN; Bei AK; Ménard D; Ndiaye D</t>
  </si>
  <si>
    <t>INTRODUCTION: Malaria control is highly dependent on the effectiveness of artemisinin-based combination therapies (ACTs), the current frontline malaria curative treatments. Unfortunately, the emergence and spread of parasites resistant to artemisinin (ART) derivatives in Southeast Asia and South America, and more recently in Rwanda and Uganda (East Africa), compromise their long-term use in Sub-Saharan Africa where most malaria deaths occur. METHODS: Here, we evaluated ex vivo susceptibility to dihydroartemisinin (DHA) from 38 P. falciparum isolates collected in 2017 in Thiès (Senegal) expressed with the Ring-stage Survival Assay (RSA). We explored major and minor variants in the full Pfkelch13 gene, the main determinant of ART resistance using a targeted-amplicon deep sequencing (TADS) approach. RESULTS: All samples tested in the ex vivo RSA were found to be susceptible to DHA. Both non-synonymous mutations K189T and K248R were observed each in one isolate, as major (99%) or minor (5%) variants, respectively. CONCLUSION: Altogether, investigations combining ex vivo RSA and TADS are a useful approach for monitoring ART resistance in Africa.</t>
  </si>
  <si>
    <t>Res Sq</t>
  </si>
  <si>
    <t>#461</t>
  </si>
  <si>
    <t>s0174_wotodjo_2023</t>
  </si>
  <si>
    <t>10.1186/s12936-023-04694-0</t>
  </si>
  <si>
    <t>Rebound of multiple infections and prevalence of anti-malarial resistance associated markers following malaria upsurges in Dielmo village, Senegal, West Africa.</t>
  </si>
  <si>
    <t>Wotodjo AN; Oboh MA; Doucoure S; Diagne N; Diène-Sarr F; Niang M; Trape JF; Sokhna C; Amambua-Ngwa A; D'Alessandro U</t>
  </si>
  <si>
    <t>BACKGROUND: Thanks to the scale up of malaria control interventions, the malaria burden in Senegal has decreased substantially to the point that the National Malaria Control Programme plans to achieve malaria elimination by 2030. To guide such efforts, measuring and monitoring parasite population evolution and anti-malarial drugs resistance is extremely important. Information on the prevalence of parasite mutations related to drug resistance can provide a first signal of emergence, introduction and selection that can help with refining drug interventions. The aim of this study was to analyse the prevalence of anti-malarial drug resistance-associated markers before and after the implementation of artemisinin-based combination therapy (ACT) from 2005 to 2014 in Dielmo, a model site for malaria intervention studies in Senegal. METHODS: Samples from both malaria patients and Plasmodium falciparum asymptomatic carriers were analysed with high resolution melting (HRM) technique to genotype P. falciparum chloroquine resistance transporter (Pfcrt) gene haplotypes and multidrug-resistant protein 1 (Pfmdr1) gene at codons N86 and Y184. RESULTS: Among the 539 samples analysed, 474, 486, and 511 were successfully genotyped for Pfmdr1 N86, Y184, and Pfcrt, respectively. The prevalence of drug resistance markers was high, particularly during the malaria upsurges. Following the scale-up in bed net distribution, only the mutant (86F-like) variant of Pfmdr1 86 was present while during the malaria upsurges the predominance of two types 86Y-86N (43%) and 86F-like (56%) were observed. Most infections (87%) carried the wild type Y-allele at Pfmdr1 184 during the period of nets scale-up while during the malaria upsurges only 16% of infections had wild type and 79% of infections had mixed (mutant/wild) type. The frequency of the mixed genotypes SVMNT-like_CVMNK and SVMNT-like_CVIET within Pfcrt gene was particularly low during bednet scale up. Their frequency increased significantly (P &lt; 0.001) during the malaria upsurges. CONCLUSION: This data demonstrated the effect of multiple interventions on the dynamics of drug resistance-associated mutations in the main malaria parasite P. falciparum in an endemic village in Senegal. Monitoring drug resistance markers should be conducted periodically to detect threats of emergence or resurgence that could compromise the efficacy of anti-malarial drugs.</t>
  </si>
  <si>
    <t>#409</t>
  </si>
  <si>
    <t>s0175_leski_2022</t>
  </si>
  <si>
    <t>10.3389/fmicb.2022.1059695</t>
  </si>
  <si>
    <t>Sierra Leone</t>
  </si>
  <si>
    <t>Prevalence of malaria resistance-associated mutations in Plasmodium falciparum circulating in 2017-2018, Bo, Sierra Leone.</t>
  </si>
  <si>
    <t>Leski TA; Taitt CR; Colston SM; Bangura U; Holtz A; Yasuda CY; Reynolds ND; Lahai J; Lamin JM; Baio V; Ansumana R; Stenger DA; Vora GJ</t>
  </si>
  <si>
    <t>INTRODUCTION: In spite of promising medical, sociological, and engineering strategies and interventions to reduce the burden of disease, malaria remains a source of significant morbidity and mortality, especially among children in sub-Saharan Africa. In particular, progress in the development and administration of chemotherapeutic agents is threatened by evolved resistance to most of the antimalarials currently in use, including artemisinins. METHODS: This study analyzed the prevalence of mutations associated with antimalarial resistance in Plasmodium falciparum from 95 clinical samples collected from individuals with clinically confirmed malaria at a hospital in Bo, Sierra Leone between May 2017 and December 2018. The combination of polymerase chain reaction amplification and subsequent high throughput DNA sequencing was used to determine the presence of resistance-associated mutations in five P. falciparum genes - pfcrt, pfmdr1, pfdhfr, pfdhps and pfkelch13. The geographic origin of parasites was assigned using mitochondrial sequences. RESULTS: Relevant mutations were detected in the pfcrt (22%), pfmdr1 (&gt;58%), pfdhfr (100%) and pfdhps (&gt;80%) genes while no resistance-associated mutations were found in the pfkelch13 gene. The mitochondrial barcodes were consistent with a West African parasite origin with one exception indicating an isolate imported from East Africa. DISCUSSION: Detection of the pfmdr1 NFSND haplotype in 50% of the samples indicated the increasing prevalence of strains with elevated tolerance to artemeter + lumefantrine (AL) threatening the combination currently used to treat uncomplicated malaria in Sierra Leone. The frequency of mutations linked to resistance to antifolates suggests widespread resistance to the drug combination used for intermittent preventive treatment during pregnancy.</t>
  </si>
  <si>
    <t>Front Microbiol</t>
  </si>
  <si>
    <t>#436</t>
  </si>
  <si>
    <t>s0176_jalei_2023</t>
  </si>
  <si>
    <t>10.3347/PHD.22140</t>
  </si>
  <si>
    <t>Somalia</t>
  </si>
  <si>
    <t>Monitoring antimalarial drug-resistance markers in Somalia.</t>
  </si>
  <si>
    <t>Jalei AA; Na-Bangchang K; Muhamad P; Chaijaroenkul W</t>
  </si>
  <si>
    <t>The use of an effective antimalarial drug is the cornerstone of malaria control. However, the development and spread of resistant Plasmodium falciparum strains have placed the global eradication of malaria in serious jeopardy. Molecular marker analysis constitutes the hallmark of the monitoring of Plasmodium drug-resistance. This study included 96 P. falciparum PCR-positive samples from southern Somalia. The P. falciparum chloroquine resistance transporter gene had high frequencies of K76T, A220S, Q271E, N326S, and R371I point mutations. The N86Y and Y184F mutant alleles of the P. falciparum multidrug resistance 1 gene were present in 84.7 and 62.4% of the isolates, respectively. No mutation was found in the P. falciparum Kelch-13 gene. This study revealed that chloroquine resistance markers are present at high frequencies, while the parasite remains sensitive to artemisinin (ART). The continuous monitoring of ART-resistant markers and in vitro susceptibility testing are strongly recommended to track resistant strains in real time.</t>
  </si>
  <si>
    <t>Parasites Hosts Dis</t>
  </si>
  <si>
    <t>#256</t>
  </si>
  <si>
    <t>s0177_hussien_2020</t>
  </si>
  <si>
    <t>10.1371/journal.pone.0235401</t>
  </si>
  <si>
    <t>Sudan</t>
  </si>
  <si>
    <t>Antimalarial drug resistance molecular makers of Plasmodium falciparum isolates from Sudan during 2015-2017.</t>
  </si>
  <si>
    <t>Hussien M; Abdel Hamid MM; Elamin EA; Hassan AO; Elaagip AH; Salama AHA; Abdelraheem MH; Mohamed AO</t>
  </si>
  <si>
    <t>BACKGROUND: Current malaria control and elimination strategies rely mainly on efficacious antimalarial drugs. However, drug resistance is a major threat facing malaria control programs. Determination of drug resistance molecular markers is useful in the monitoring and surveillance of malaria drug efficacy. This study aimed to determine the mutations and haplotypes frequencies of different genes linked with antimalarial drug resistance in certain areas in Sudan. METHODS: A total of 226 dried blood spots (DBS) of microscopically diagnosed P. falciparum isolates were collected from Khartoum and three other areas in Sudan during 2015-2017. Plasmodium falciparum confirmation and multiplicity of infection was assessed using the Sanger's 101 SNPs-barcode and speciation was confirmed using regions of the parasite mitochondria. Molecular genotyping of drug resistance genes (Pfcrt, Pfmdr1, Pfdhfr, Pfdhps, exonuclease, Pfk13, parasite genetic background (PGB) (Pfarps10, ferredoxin, Pfcrt, Pfmdr2)) was also performed. All genotypes were generated by selective regions amplicon sequencing of the parasite genome using the Illumina MiSeq platform at the Wellcome Sanger Institute, UK then genotypes were translated into drug resistance haplotypes and species determination. FINDINGS: In total 225 samples were confirmed to be P. falciparum. A higher proportion of multiplicity of infection was observed in Gezira (P&lt;0.001) based on the Sanger 101 SNPs -barcode. The overall frequency of mutant haplotype Pfcrt 72-76 CVIET was 71.8%. For Pfmdr1, N86Y was detected in 53.6%, Y184F was observed in 88.1% and D1246Y was detected in 1.5% of the samples. The most frequently observed haplotype was YFD 47.4%. For Pfdhfr (codons 51, 59,108,164), the ICNI haplotype was the most frequent (80.7%) while for Pfdhps (codons 436, 437, 540, 581, 613) the (SGEAA) was most frequent haplotype (41%). The Quadruple mutation (dhfr N51I, S108N + dhps A437G, K540E) was the highest frequent combined mutation (33.9%). In Pfkelch13 gene, 18 non-synonymous mutations were detected, 7 of them were detected in other African countries. The most frequent Pfk13 mutation was E433D detected in four samples. All of the Pfk13 mutant alleles have not been reported to belong to mutations associated with delayed parasite clearance in Southeast Asia. PGB mutations were detected only in Pfcrt N326S\I (46.3%) and Pfcrt I356T (8.2%). The exonuclease mutation was not detected. There was no significant variation in mutant haplotypes between study areas. CONCLUSIONS: There was high frequency of mutations in Pfcrt, Pfdhfr and Pfdhps in this study. These mutations are associated with chloroquine and sulfadoxine-pyrimethamine (SP) resistance. Many SNPs in Pfk13 not linked with delayed parasite clearance were observed. The exonuclease E415G mutation which is linked with piperaquine resistance was not reported.</t>
  </si>
  <si>
    <t>#268</t>
  </si>
  <si>
    <t>s0178_mohamed_2020</t>
  </si>
  <si>
    <t>10.1186/s13104-020-05363-0</t>
  </si>
  <si>
    <t>A snapshot of Plasmodium falciparum malaria drug resistance markers in Sudan: a pilot study.</t>
  </si>
  <si>
    <t>Mohamed NS; Abdelbagi H; Osman HA; Ahmed AE; Yousif AM; Edris YB; Osman EY; Elsadig AR; Siddig EE; Mustafa M; Mohammed AA; Ali Y; Osman MM; Ali MS; Omer RA; Ahmed A; Sibley CH</t>
  </si>
  <si>
    <t>OBJECTIVES: Malaria infection is still known to be a worldwide public health problem, especially in tropical and sub-tropical African countries like Sudan. A pilot study conducted to describe the trend of P. falciparum drug resistance markers in 2017-2018 in comparison to CQ and AS/SP eras in Sudan. The Pfcrt, Pfmdr-1, Pfdhfr, and Pfdhps genes were investigated. Data deposited by the worldwide antimalarial resistance network was consulted, and the molecular markers previously reported from Sudan were analyzed. RESULTS: Drug molecular markers analysis was successfully done on 20 P. falciparum isolates. The Pfcrt K76 showed high frequency; 16 (80%). For the Pfmdr-1, 9 (45%) isolates were carrying the N86 allele, and 11 (55%) were 86Y allele. While the Y184F of the Pfmdr-1 showed a higher frequency of 184F compared to Y184; 16 (80%) and 4 (20%), respectively. In the Pfdhfr, 51I allele showed higher frequency compared to N51; 18 (90%) and 2 (10%), respectively. For S108N, 18 (90%) were 108 N and 2 (10%) were S108. In the Pfdhps, all isolates were carrying the mutant alleles; 437G and 540E. The frequency distribution of the Pfcrt, Pfmdr-1, Pfdhfr, Pfdhps was significantly different across the whole years in Sudan.</t>
  </si>
  <si>
    <t>BMC Res Notes</t>
  </si>
  <si>
    <t>#105</t>
  </si>
  <si>
    <t>s0179_tukwasibwe_2017</t>
  </si>
  <si>
    <t>10.1186/s12936-017-1777-0</t>
  </si>
  <si>
    <t>Uganda</t>
  </si>
  <si>
    <t>Drug resistance mediating Plasmodium falciparum polymorphisms and clinical presentations of parasitaemic children in Uganda.</t>
  </si>
  <si>
    <t>Tukwasibwe S; Tumwebaze P; Conrad M; Arinaitwe E; Kamya MR; Dorsey G; Nsobya SL; Greenhouse B; Rosenthal PJ</t>
  </si>
  <si>
    <t>BACKGROUND: Plasmodium falciparum genetic polymorphisms that mediate altered drug sensitivity may impact upon virulence. In a cross-sectional study, Ugandan children with infections mutant at pfcrt K76T, pfmdr1 N86Y, or pfmdr1 D1246Y had about one-fourth the odds of symptomatic malaria compared to those with infections with wild type (WT) sequences. However, results may have been confounded by greater likelihood in those with symptomatic disease of higher density mixed infections and/or recent prior treatment that selected for WT alleles. METHODS: Polymorphisms in samples from paired episodes of asymptomatic and symptomatic parasitaemia in 114 subjects aged 4-11 years were followed longitudinally in Tororo District, Uganda. Paired episodes occurred within 3-12 months of each other and had no treatment for malaria in the prior 60 days. The prevalence of WT, mixed, and mutant alleles was determined using multiplex ligase detection reaction-fluorescent microsphere assays. RESULTS: Considering paired episodes in the same subject, the odds of symptomatic malaria were lower for infections with mutant compared to WT or mixed sequence at N86Y (OR 0.26, 95% CI 0.09-0.79, p = 0.018), but not K76T or D1246Y. However, symptomatic episodes (which had higher densities) were more likely than asymptomatic to be mixed (for N86Y OR 2.0, 95% CI 1.04-4.0, p = 0.036). Excluding mixed infections, the odds of symptomatic malaria were lower for infections with mutant compared to WT sequence at N86Y (OR 0.33, 95% CI 0.11-0.98, p = 0.046), but not the other alleles. However, if mixed genotypes were grouped with mutants in this analysis or assuming that mixed infections consisted of 50% WT and 50% mutant genotypes, the odds of symptomatic infection did not differ between infections that were mutant or WT at the studied alleles. CONCLUSIONS: Although infections with only the mutant pfmdr1 86Y genotype were associated with symptomatic infection, this association could primarily be explained by greater parasite densities and therefore greater prevalence of mixed infections in symptomatic children. These results indicate limited association between the tested polymorphisms and risk of symptomatic disease and highlight the value of longitudinal studies for assessing associations between parasite factors and clinical outcomes.</t>
  </si>
  <si>
    <t>#246</t>
  </si>
  <si>
    <t>s0180_cuu_2020</t>
  </si>
  <si>
    <t>10.1128/AAC.00721-20</t>
  </si>
  <si>
    <t>Associations between Aminoquinoline Resistance Genotypes and Clinical Presentations of Plasmodium falciparum Infection in Uganda.</t>
  </si>
  <si>
    <t>Cuu G; Asua V; Tukwasibwe S; Nsobya SL; Nanteza A; Kimuda MP; Mpimbaza A; Rosenthal PJ</t>
  </si>
  <si>
    <t>Mutations that mediate resistance of Plasmodium falciparum to aminoquinoline antimalarials are selected by prior drug use and may alter parasite fitness, but associations with clinical presentations are uncertain. We evaluated genotypes in samples from a case-control study of determinants of severe malaria in Ugandan children 4 months to 10 years of age. We studied 274 cases with severe malaria matched by age and geography to 275 uncomplicated malaria controls and 179 asymptomatic parasitemic controls. The overall prevalence of mutations of interest (considering mixed results as mutant) was 67.0% for PfCRT K76T, 8.5% for PfMDR1 N86Y, 71.5% for PfMDR1 Y184F, and 14.7% for PfMDR1 D1246Y. Compared to asymptomatic controls, the odds of mutant PfCRT 76T were lower for uncomplicated (odds ratio, 0.42 [95% confidence interval, 0.24 to 0.72]; P &lt; 0.001) or severe (0.56 [0.32 to 0.97]; P = 0.031) malaria; the odds of mutant PfMDR1 86Y were lower for uncomplicated (0.33 [0.16 to 0.65]; P &lt; 0.001) or severe (0.21 [0.09 to 0.45]; P &lt; 0.001) malaria; and the odds of mutant PfMDR1 1246Y were higher for uncomplicated (1.83 [0.90 to 3.98]; P = 0.076) or severe (2.06 [1.01 to 4.55]; P = 0.033) malaria. The odds of mutant PfMDR1 184F were lower in severe than asymptomatic (0.59 [0.37 to 0.92]; P = 0.016) or uncomplicated (0.61 [0.41 to 0.90]; P = 0.009) malaria. Overall, the PfCRT 76T and PfMDR1 86Y mutations were associated with decreased risk of symptomatic malaria, PfMDR1 1246Y was associated with increased risk of symptomatic malaria, and PfMDR1 184F was associated with decreased risk of severe malaria. These results offer insights into parasite genotypes in children with different presentations, although the basis for the identified associations is likely complex.</t>
  </si>
  <si>
    <t>Antimicrob Agents Chemother</t>
  </si>
  <si>
    <t>#262</t>
  </si>
  <si>
    <t>s0181_nayebare_2020</t>
  </si>
  <si>
    <t>10.1128/AAC.01047-20</t>
  </si>
  <si>
    <t>Associations between Malaria-Preventive Regimens and Plasmodium falciparum Drug Resistance-Mediating Polymorphisms in Ugandan Pregnant Women.</t>
  </si>
  <si>
    <t>Nayebare P; Asua V; Conrad MD; Kajubi R; Kakuru A; Nankabirwa JI; Muhanguzi D; Dorsey G; Kamya MR; Nsobya S; Rosenthal PJ</t>
  </si>
  <si>
    <t>Intermittent preventive treatment in pregnancy (IPTp) with monthly sulfadoxine-pyrimethamine (SP) is recommended for malaria-endemic parts of Africa, but efficacy is compromised by resistance, and, in recent trials, dihydroartemisinin-piperaquine (DP) has shown better antimalarial protective efficacy. We utilized blood samples from a recent trial to evaluate selection by IPTp with DP or SP of Plasmodium falciparum genetic polymorphisms that alter susceptibility to these drugs. The prevalence of known genetic polymorphisms associated with altered drug susceptibility was determined in parasitemic samples, including 375 collected before IPTp drugs were administered, 125 randomly selected from those receiving SP, and 80 from those receiving DP. For women receiving DP, the prevalence of mixed/mutant sequences was greater in samples collected during IPTp than that in samples collected prior to the intervention for PfMDR1 N86Y (20.3% versus 3.9%; P &lt; 0.001), PfMDR1 Y184F (73.0% versus 53.0%; P &lt; 0.001), and PfCRT K76T (46.4% versus 24.0%; P &lt; 0.001). Considering SP, prior to IPTp, the prevalence of all 5 common antifolate mutations was over 92%, and this prevalence increased following exposure to SP, although none of these changes were statistically significant. For two additional mutations associated with high-level SP resistance, the prevalence of PfDHFR 164L (13.7% versus 4.0%; P = 0.004), but not PfDHPS 581G (1.9% versus 3.0%; P = 0.74), was greater in samples collected during IPTp compared to those collected before the intervention. Use of IPTp in Uganda selected for parasites with mutations associated with decreased susceptibility to IPTp regimens. Thus, a potential drawback of IPTp is selection of parasites with decreased drug susceptibility.</t>
  </si>
  <si>
    <t>#265</t>
  </si>
  <si>
    <t>s0183_ippolito_2020</t>
  </si>
  <si>
    <t>10.4269/ajtmh.20-0852</t>
  </si>
  <si>
    <t>Zambia</t>
  </si>
  <si>
    <t>Therapeutic Efficacy of Artemether-Lumefantrine for Uncomplicated Falciparum Malaria in Northern Zambia.</t>
  </si>
  <si>
    <t>Ippolito MM; Pringle JC; Siame M; Katowa B; Aydemir O; Oluoch PO; Huang L; Aweeka FT; Bailey JA; Juliano JJ; Meshnick SR; Shapiro TA; Moss WJ; Thuma PE</t>
  </si>
  <si>
    <t>Artemether-lumefantrine (AL) is a first-line agent for uncomplicated malaria caused by Plasmodium falciparum. The WHO recommends periodic therapeutic efficacy studies of antimalarial drugs for the detection of malaria parasite drug resistance and to inform national malaria treatment policies. We conducted a therapeutic efficacy study of AL in a high malaria transmission region of northern Zambia from December 2014 to July 2015. One hundred children of ages 6 to 59 months presenting to a rural health clinic with uncomplicated falciparum malaria were admitted for treatment with AL (standard 6-dose regimen) and followed weekly for 5 weeks. Parasite counts were taken every 6 hours during treatment to assess parasite clearance. Recurrent episodes during follow-up (n = 14) were genotyped to distinguish recrudescence from reinfection and to identify drug resistance single nucleotide polymorphisms (SNPs) and multidrug resistance protein 1 (mdr1) copy number variation. Day 7 lumefantrine concentrations were measured for correspondence with posttreatment reinfection. All children who completed the parasite clearance portion of the study (n = 94) were microscopy-negative by 72 hours. The median parasite elimination half-life was 2.7 hours (interquartile range: 2.1-3.3). Genotype-corrected therapeutic efficacy was 98.8% (95% CI: 97.6-100). Purported artemisinin and lumefantrine drug resistance SNPs in atp6, 3D7_1451200, and mdr1 were detected but did not correlate with parasite recurrence, nor did day 7 lumefantrine concentrations. In summary, AL was highly effective for the treatment of uncomplicated falciparum malaria in northern Zambia during the study period. The high incidence of recurrent parasitemia was consistent with reinfection due to high, perennial malaria transmission.</t>
  </si>
  <si>
    <t>#325</t>
  </si>
  <si>
    <t>s0184_mulenga_2021</t>
  </si>
  <si>
    <t>10.1186/s12936-021-03859-z</t>
  </si>
  <si>
    <t>Decreased prevalence of the Plasmodium falciparum Pfcrt K76T and Pfmdr1 and N86Y mutations post-chloroquine treatment withdrawal in Katete District, Eastern Zambia.</t>
  </si>
  <si>
    <t>Mulenga MC; Sitali L; Ciubotariu II; Hawela MB; Hamainza B; Chipeta J; Mharakurwa S</t>
  </si>
  <si>
    <t>BACKGROUND: In 2002, Zambia withdrew chloroquine as first-line treatment for Plasmodium falciparum malaria due to increased treatment failure and worldwide spread of chloroquine resistance. The artemisinin combination regimen, artemether-lumefantrine, replaced chloroquine (CQ) as first choice malaria treatment. The present study determined the prevalence of CQ resistance molecular markers in the Pfcrt and Pfmdr1 genes in Eastern Zambia at 9 and 13 years after the removal of drug pressure. METHODS: Samples collected from Katete District during the drug therapeutic efficacy assessments conducted in 2012 and 2016 were assayed by polymerase chain reaction (PCR) and restriction fragment length polymorphisms (RFLP) to determine the prevalence of genetic mutations, K76T on the Pfcrt gene and N86Y on the Pfmdr1 gene. A total of 204 P. falciparum-positive DBS samples collected at these two time points were further analysed. RESULTS: Among the samples analysed for Pfcrt K76T and Pfmdr1 N86Y in the present study, 112 (82.4%) P. falciparum-infected samples collected in 2012 were successfully amplified for Pfcrt and 94 (69.1%) for Pfmdr1, while 69 (65.7%) and 72 (68.6%) samples from 2016 were successfully amplified for Pfcrt and Pfmdr1, respectively. In 2012, the prevalence of Pfcrt 76K (sensitive) was 97.3%, 76T (resistant) was 1.8%, and 0.8% had both 76K and 76T codons (mixed). Similarly in 2012, the prevalence of Pfmdr1 86N (sensitive) was 97.9% and 86Y (resistant) was 2.1%. In the 2016 samples, the prevalence of the respective samples was 100% Pfcrt 76K and Pfmdr1 86N. CONCLUSION: This study shows that there was a complete recovery of chloroquine-sensitive parasites by 2016 in Katete District, Eastern Zambia, 13 years following the withdrawal of CQ in the country. These findings add to the body of evidence for a fitness cost in CQ-resistant P. falciparum in Zambia and elsewhere. Further studies are recommended to monitor resistance countrywide and explore the feasibility of integration of the former best anti-malarial in combination therapy in the future.</t>
  </si>
  <si>
    <t>#445</t>
  </si>
  <si>
    <t>s0186_holzschuh_2023</t>
  </si>
  <si>
    <t>10.1038/s41467-023-39417-1</t>
  </si>
  <si>
    <t>Tanzania</t>
  </si>
  <si>
    <t>Multiplexed ddPCR-amplicon sequencing reveals isolated Plasmodium falciparum populations amenable to local elimination in Zanzibar, Tanzania.</t>
  </si>
  <si>
    <t>Holzschuh A; Lerch A; Gerlovina I; Fakih BS; Al-Mafazy AH; Reaves EJ; Ali A; Abbas F; Ali MH; Ali MA; Hetzel MW; Yukich J; Koepfli C</t>
  </si>
  <si>
    <t>Zanzibar has made significant progress toward malaria elimination, but recent stagnation requires novel approaches. We developed a highly multiplexed droplet digital PCR (ddPCR)-based amplicon sequencing method targeting 35 microhaplotypes and drug-resistance loci, and successfully sequenced 290 samples from five districts covering both main islands. Here, we elucidate fine-scale Plasmodium falciparum population structure and infer relatedness and connectivity of infections using an identity-by-descent (IBD) approach. Despite high genetic diversity, we observe pronounced fine-scale spatial and temporal parasite genetic structure. Clusters of near-clonal infections on Pemba indicate persistent local transmission with limited parasite importation, presenting an opportunity for local elimination efforts. Furthermore, we observe an admixed parasite population on Unguja and detect a substantial fraction (2.9%) of significantly related infection pairs between Zanzibar and the mainland, suggesting recent importation. Our study provides a high-resolution view of parasite genetic structure across the Zanzibar archipelago and provides actionable insights for prioritizing malaria elimination efforts.</t>
  </si>
  <si>
    <t>Nat Commun</t>
  </si>
  <si>
    <t>#381</t>
  </si>
  <si>
    <t>s0189_kagoro_2022</t>
  </si>
  <si>
    <t>10.1186/s12936-022-04224-4</t>
  </si>
  <si>
    <t>Making data map-worthy-enhancing routine malaria data to support surveillance and mapping of Plasmodium falciparum anti-malarial resistance in a pre-elimination sub-Saharan African setting: a molecular and spatiotemporal epidemiology study.</t>
  </si>
  <si>
    <t>Kagoro FM; Allen E; Mabuza A; Workman L; Magagula R; Kok G; Davies C; Malatje G; Guérin PJ; Dhorda M; Maude RJ; Raman J; Barnes KI</t>
  </si>
  <si>
    <t>BACKGROUND: Independent emergence and spread of artemisinin-resistant Plasmodium falciparum malaria have recently been confirmed in Africa, with molecular markers associated with artemisinin resistance increasingly detected. Surveillance to promptly detect and effectively respond to anti-malarial resistance is generally suboptimal in Africa, especially in low transmission settings where therapeutic efficacy studies are often not feasible due to recruitment challenges. However, these communities may be at higher risk of anti-malarial resistance. METHODS: From March 2018 to February 2020, a sequential mixed-methods study was conducted to evaluate the feasibility of the near-real-time linkage of individual patient anti-malarial resistance profiles with their case notifications and treatment response reports, and map these to fine scales in Nkomazi sub-district, Mpumalanga, a pre-elimination area in South Africa. RESULTS: Plasmodium falciparum molecular marker resistance profiles were linked to 55.1% (2636/4787) of notified malaria cases, 85% (2240/2636) of which were mapped to healthcare facility, ward and locality levels. Over time, linkage of individual malaria case demographic and molecular data increased to 75.1%. No artemisinin resistant validated/associated  Kelch-13 mutations were detected in the 2385 PCR positive samples. Almost all 2812 samples assessed for lumefantrine susceptibility carried the wildtype mdr86ASN and crt76LYS alleles, potentially associated with decreased lumefantrine susceptibility. CONCLUSION: Routine near-real-time mapping of molecular markers associated with anti-malarial drug resistance on a fine spatial scale provides a rapid and efficient early warning system for emerging resistance. The lessons learnt here could inform scale-up to provincial, national and regional malaria elimination programmes, and may be relevant for other antimicrobial resistance surveillance.</t>
  </si>
  <si>
    <t>#465</t>
  </si>
  <si>
    <t>s0192_coonahan_2023</t>
  </si>
  <si>
    <t>10.1128/mbio.01768-23</t>
  </si>
  <si>
    <t>Mozambique</t>
  </si>
  <si>
    <t>Whole-genome surveillance identifies markers of Plasmodium falciparum drug resistance and novel genomic regions under selection in Mozambique.</t>
  </si>
  <si>
    <t>Coonahan E; Gage H; Chen D; Noormahomed EV; Buene TP; Mendes de Sousa I; Akrami K; Chambal L; Schooley RT; Winzeler EA; Cowell AN</t>
  </si>
  <si>
    <t>Malaria is a devastating disease caused by Plasmodium parasites. The evolution of parasite drug resistance continues to hamper progress toward malaria elimination, and despite extensive efforts to control malaria, it remains a leading cause of death in Mozambique and other countries in the region. The development of successful vaccines and identification of molecular markers to track drug efficacy are essential for managing the disease burden. We present an analysis of the parasite genome in Mozambique, a country with one of the highest malaria burdens globally and limited available genomic data, revealing current selection pressure. We contribute additional evidence to limited prior studies supporting the effectiveness of SWGA in producing reliable genomic data from complex clinical samples. Our results provide the identity of genomic loci that may be associated with current antimalarial drug use, including artemisinin and lumefantrine, and reveal selection pressure predicted to compromise the efficacy of current vaccine candidates.</t>
  </si>
  <si>
    <t>mBio</t>
  </si>
  <si>
    <t>#539</t>
  </si>
  <si>
    <t>s0193_awor_2024</t>
  </si>
  <si>
    <t>10.1128/aac.01659-23</t>
  </si>
  <si>
    <t>Indigenous emergence and spread of kelch13 C469Y artemisinin-resistant Plasmodium falciparum in Uganda.</t>
  </si>
  <si>
    <t>Awor P; Coppée R; Khim N; Rondepierre L; Roesch C; Khean C; Kul C; Eam R; Lorn T; Athieno P; Kimera J; Balikagala B; Odongo-Aginya EI; Anywar DA; Mita T; Clain J; Ringwald P; Signorell A; Lengeler C; Burri C; Ariey F; Hetzel MW; Witkowski B</t>
  </si>
  <si>
    <t>Artemisinin-based combination therapies (ACTs) were introduced as the standard of care for uncomplicated malaria in Africa almost two decades ago. Recent studies in East Africa have reported a gradual increase in kelch13 (k13) mutant parasites associated with reduced artesunate efficacy. As part of the Community Access to Rectal Artesunate for Malaria project, we collected blood samples from 697 children with signs of severe malaria in northern Uganda between 2018 and 2020, before and after the introduction of rectal artesunate (RAS) in 2019. K13 polymorphisms were assessed, and parasite editing and phenotyping were performed to assess the impact of mutations on parasite resistance. Whole-genome sequencing was performed, and haplotype networks were constructed to determine the geographic origin of k13 mutations. Of the 697 children, 540 were positive for Plasmodium falciparum malaria by PCR and were treated with either RAS or injectable artesunate monotherapy followed in most cases by ACT. The most common k13 mutation was C469Y (6.7%), which was detected more frequently in samples collected after RAS introduction. Genome editing confirmed reduced in vitro susceptibility to artemisinin in C469Y-harboring parasites compared to wild-type controls (P &lt; 0.001). The haplotypic network showed that flanking regions of the C469Y mutation shared the same African genetic background, suggesting a single and indigenous origin of the mutation. Our data provide evidence of selection for the artemisinin-resistant C469Y mutation. The realistic threat of multiresistant parasites emerging in Africa should encourage careful monitoring of the efficacy of artemisinin derivatives and strict adherence to ACT treatment regimens.</t>
  </si>
  <si>
    <t>#296</t>
  </si>
  <si>
    <t>s0194_kassaza_2021</t>
  </si>
  <si>
    <t>10.1186/s12936-021-03657-7</t>
  </si>
  <si>
    <t>Surveillance of Plasmodium falciparum pfcrt haplotypes in southwestern uganda by high-resolution melt analysis.</t>
  </si>
  <si>
    <t>Kassaza K; Long AC; McDaniels JM; Andre M; Fredrickson W; Nyehangane D; Orikiriza P; Operario DJ; Bazira J; Mwanga-Amumpaire JA; Moore CC; Guler JL; Boum Y 2nd</t>
  </si>
  <si>
    <t>BACKGROUND: Chloroquine (CQ) resistance is conferred by mutations in the Plasmodium falciparum CQ resistance transporter (pfcrt). Following CQ withdrawal for anti-malarial treatment, studies across malaria-endemic countries have shown a range of responses. In some areas, CQ sensitive parasites re-emerge, and in others, mutant haplotypes persist. Active surveillance of resistance mutations in clinical parasites is essential to inform treatment regimens; this effort requires fast, reliable, and cost-effective methods that work on a variety of sample types with reagents accessible in malaria-endemic countries. METHODS: Quantitative PCR followed by High-Resolution Melt (HRM) analysis was performed in a field setting to assess pfcrt mutations in two groups of clinical samples from Southwestern Uganda. Group 1 samples (119 in total) were collected in 2010 as predominantly Giemsa-stained slides; Group 2 samples (125 in total) were collected in 2015 as blood spots on filter paper. The Rotor-Gene Q instrument was utilized to assess the impact of different PCR-HRM reagent mixes and the detection of mixed haplotypes present in the clinical samples. Finally, the prevalence of the wild type (CVMNK) and resistant pfcrt haplotypes (CVIET and SVMNT) was evaluated in this understudied Southwestern region of Uganda. RESULTS: The sample source (i.e. Giemsa-stained slides or blood spots) and type of LCGreen-based reagent mixes did not impact the success of PCR-HRM. The detection limit of 10(- 5) ng and the ability to identify mixed haplotypes as low as 10 % was similar to other HRM platforms. The CVIET haplotype predominated in the clinical samples (66 %, 162/244); however, there was a large regional variation between the sample groups (94 % CVIET in Group 1 and 44 % CVIET in Group 2). CONCLUSIONS: The HRM-based method exhibits the flexibility required to conduct reliable assessment of resistance alleles from various sample types generated during the clinical management of malaria. Large regional variations in CQ resistance haplotypes across Southwestern Uganda emphasizes the need for continued local parasite genotype assessment to inform anti-malarial treatment policies.</t>
  </si>
  <si>
    <t>#3</t>
  </si>
  <si>
    <t>s0203_mawili-mboumba_2014</t>
  </si>
  <si>
    <t>10.1093/trstmh/tru147</t>
  </si>
  <si>
    <t>Pfcrt 76T and pfmdr1 86Y allele frequency in Plasmodium falciparum isolates and use of self-medication in a rural area of Gabon.</t>
  </si>
  <si>
    <t>Mawili-Mboumba DP; Ndong Ngomo JM; Maboko F; Guiyedi V; Mourou Mbina JR; Kombila M; Bouyou Akotet MK</t>
  </si>
  <si>
    <t>BACKGROUND: Studies showed that chloroquine resistance may revert to sensitivity after its withdrawal mainly detected by a significant decrease of Plasmodium falciparum pfcrt 76T and pfmdr1 86Y alleles. Besides, self-medication is considered as a key factor of antimalarial drug resistance expansion. Thus, pfcrt 76T and pfmdr1 86Y allele frequency and its relationship with antimalarial drug self-medication was analyzed in P. falciparum isolates collected in Gabon. METHODS: Samples were collected from febrile children screened for P. falciparum infection in 2005 and 2008 at the regional hospital of Oyem. Self-use of antimalarial drugs before the day of consultation was recorded. Polymorphic codons 76 and 86 of pfcrt and pfmdr1 genes were analyzed by PCR-RFLP. RESULTS: The frequency of pfcrt 76T mutant allele was greater than 70.0% in 2005 and 2008. Wild type isolates were 1.7-fold more prevalent in 2008. The prevalence of pfmdr1 86Y mutant allele was comparable between 2005 and 2008 (p=0.1); the proportion of wild type allele reached 20.5% in 2008. The frequency of wild type allele pfcrt K76 or pfmdr1 N86 was higher among patients without anti-malarial drug self-medication compared to those who used it. CONCLUSIONS: An increase of the frequency of P. falciparum wild type allele pfcrt 76K and pfmdr1 86N was observed within a short period after chloroquine withdrawal. The proportion of mutant genotypes is still high, mainly among patients using self-medication with antimalarial drugs.</t>
  </si>
  <si>
    <t>#431</t>
  </si>
  <si>
    <t>s0204_nibaptn_2023</t>
  </si>
  <si>
    <t>10.1016/j.ijid.2023.03.050</t>
  </si>
  <si>
    <t>Evolution of Plasmodium falciparum antimalarial drug resistance markers post-adoption of artemisinin-based combination therapies in Yaounde, Cameroon.</t>
  </si>
  <si>
    <t>Niba PTN; Nji AM; Chedjou JPK; Hansson H; Hocke EF; Ali IM; Achonduh-Atijegbe O; Evehe MB; Jørgensen MHM; Fomboh CT; Cui L; Stresman G; Bigoga JD; Alifrangis M; Mbacham WF</t>
  </si>
  <si>
    <t>OBJECTIVES: This study aimed to investigate the evolution of Plasmodium falciparum antimalarial drug resistance markers by comparing the pre- and post-adoption of artemisinin-based combination therapies (ACTs) in Yaounde, Cameroon. METHODS: The molecular characterization of known antimalarial drug resistance markers (Pfcrt, Pfmdr1, Pfdhfr, Pfdhps, and Pfk13) in P. falciparum-positive samples collected in 2014 and 2019-2020 was achieved using nested polymerase chain reaction, followed by targeted amplicon deep sequencing on the Illumina MiSeq platform. Data derived were compared with those published during the pre-ACT adoption period from 2004 to 2006. RESULTS: A high prevalence of Pfmdr1 184F, Pfdhfr 51I/59R/108N, and Pfdhps 437G mutant alleles was observed during the post-ACT adoption period. The Pfcrt 76T and Pfmdr1 86Y mutant alleles significantly declined between 2004 and 2020 (P &lt;0.0001). Conversely, the resistance markers to antifolates, Pfdhfr 51I/59R/108N and Pfdhps 437G, significantly increased during the same study period (P &lt;0.0001). We identified nine mutations in the propeller domains of Pfk13; although they were all present in single parasite isolates, none of them are known to confer artemisinin resistance. CONCLUSION: This study documented a near-complete reversion to sensitive parasites for markers conferring resistance to the 4-aminoquinolines and arylamino alcohols in Yaounde. In contrast, the Pfdhfr mutations associated with pyrimethamine resistance are moving toward saturation.</t>
  </si>
  <si>
    <t>#575</t>
  </si>
  <si>
    <t>s210_kojomfoko_2025</t>
  </si>
  <si>
    <t>10.1128/aac.00884-24</t>
  </si>
  <si>
    <t>Novel Plasmodium falciparum Kelch13 polymorphisms in Cameroon with structural and physicochemical impact.</t>
  </si>
  <si>
    <t>Kojom Foko, Loick P.; Jakhan, Jahnvi; Narang, Geetika; Hawadak, Joseph; Eboumbou Moukoko, Carole E.; Singh, Vineeta</t>
  </si>
  <si>
    <t>The recent emergence of Plasmodium falciparum (Pf) parasites resistant to artemisinin-based combination therapies (ACT) in Africa has outlined the need for  continuous molecular surveillance of artemisinin partial resistance. Here, the  genetic polymorphism in the Kelch 13 gene (pfk13) and its structural impact were  analyzed. PfDNA was extracted from dried blood spots of symptomatic and  asymptomatic individuals living in different epidemiological facets of Cameroon.  The pfk13 gene was amplified by nested polymerase chain reaction, and amplicons  were sequenced to detect single nucleotide polymorphisms (SNPs). The evolutionary  history and the impact of the polymorphisms on physicochemical properties,  structure, and function of the pfK13 protein were appraised using various in  silico models. A total of ten SNPs were identified in this study, of which five  non-synonymous SNPs have not been previously reported (L647F, D648V, N657S,  K658R, and L663P). The genetic diversity of pfk13 sequences was low, and the  pfk13 gene evolved under the neutral model. Some mutations, especially L663P,  appeared to affect the function and structure of the pfK13 protein. Analysis of  the physicochemical properties of the Cameroonian pfK13 protein sequences  revealed slight changes in the solvent-accessible surface area, isoelectric  point, and hydrophobicity. The results support the ongoing use of ACTs in the  study areas, given the absence of validated SNPs associated with artemisinin  partial resistance. Computational findings suggest a possible deleterious effect  of some novel SNPs on the pfK13 structure and/or function.</t>
  </si>
  <si>
    <t>#580</t>
  </si>
  <si>
    <t>s211_schallenberg_2025</t>
  </si>
  <si>
    <t>10.1093/infdis/jiaf068</t>
  </si>
  <si>
    <t>Rwanda</t>
  </si>
  <si>
    <t>Prevalence of Plasmodium falciparum drug resistance markers pfcrt K76T and pfaat1 S258L in southern Rwanda, 2010 to 2023.</t>
  </si>
  <si>
    <t>Schallenberg, Emma; van Loon, Welmoed; Mbarushimana, Djibril; Igiraneza, Clement; Glanz, Karolina; Ngarambe, Christian; Minega Ndoli, Jules; Hendry, Jason A.; Mockenhaupt, Frank P.</t>
  </si>
  <si>
    <t>BACKGROUND: In many countries in Sub-Saharan Africa, the Plasmodium falciparum chloroquine resistance marker pfcrt K76T disappeared within a decade of ceased  chloroquine use. Pfaat1 S258L has recently been implicated as another chloroquine  resistance marker. Both genes may affect parasite susceptibility to partner drugs  in artemisinin-based combination therapy. Rwanda abolished chloroquine in 2001,  since 2006 the first-line antimalarial is artemether-lumefantrine. However,  partial artemisinin resistance emerged in the region. We assessed the prevalence  of pfcrt and pfaat1 markers in Huye district between 2010 -2023, following trends  and updating the status in southern Rwanda. METHODS: P. falciparum positive blood  samples from community children and malaria patients collected 2010, 2014, 2018,  2019 and 2023 were examined. Pfcrt K76T was genotyped by RFLP, pfaat1 S258L by  high-resolution melting-curve (2010-2019). Samples from 2023 were subjected to  nanopore sequencing. RESULTS: In 606 samples, pfcrt K76T prevalence declined from  76% (95% confidence interval, 68-83%) to 18% (11-25%) between 2010 and 2018 but  stagnated since around 25% (P &lt; 0.001). No further pfcrt markers were observed.  Pfaat1 S258L remained at or near fixation. The artemisinin resistance marker  pfk13 R561H was associated with pfcrt K76T (P = 0.02). DISCUSSION: The  persistence of pfcrt K76T 20 years after abolishing chloroquine indicates ongoing  drug selection or importation. The fixation of pfaat1 S258L argues against a  major fitness cost of this variant in Huye. Partial artemisinin resistance  increases in Rwanda, and molecular markers indicate compromised lumefantrine  efficacy. The observed pfcrt and pfaat1 signatures in the study area might guide  artemisinin partner drug alternatives.</t>
  </si>
  <si>
    <t>#619</t>
  </si>
  <si>
    <t>s215_wade_2025</t>
  </si>
  <si>
    <t>10.1093/jac/dkaf006</t>
  </si>
  <si>
    <t>Monitoring molecular markers associated with antimalarial drug resistance in south-east Senegal from 2021 to 2023.</t>
  </si>
  <si>
    <t>Wade, Alioune; Sene, Seynabou D.; Caspar, Emanuelle; Diallo, Fatoumata; Platon, Lucien; Thiebaut, Lucas; Pouye, Mariama N.; Ba, Aboubacar; Thiam, Laty Gaye; Fall, Magal; Sadio, Bacary Djilocalisse; Desamours, Ife; Guerra, Noemi; Hagadorn, Kelly; Amambua-Ngwa, Alfred; Bei, Amy K.; Vigan-Womas, Ines; Ménard, Didier; Mbengue, Alassane</t>
  </si>
  <si>
    <t>BACKGROUND: Since 2006, artemisinin-based combination therapies (ACTs) have been introduced in Senegal in response to chloroquine resistance (CQ-R) and have shown  high efficacy against Plasmodium falciparum. However, the detection of the  PfKelch13R515K mutation in Kaolack, which confers artemisinin resistance in  vitro, highlights the urgency of strengthening antimalarial drug surveillance to  achieve malaria elimination by 2030. OBJECTIVE: To assess the proportion of P.  falciparum parasites carrying molecular signatures associated with antimalarial  resistance (PfKelch13, Pfmdr1, Pfcrt, dhfr and dhps) in isolates collected at  Kédougou using multiplex amplicon deep sequencing. METHODS: Venous blood samples  were collected from patients diagnosed with P. falciparum infection over a 3-year  period (2021, 2022 and 2023). Parasite DNA was extracted, and multiplex amplicon  sequencing was used to investigate gene polymorphisms. RESULTS: Analysis of  PfKelch13 did not reveal any non-synonymous mutations. Pfcrt mutations were  present in 45% of the samples, mainly K76T (44%) and I356T (36%). The dominant  Pfmdr-1 allele was Y184F (62%). The sextuple mutant 51I/59R/108N + 436A/437G/613S  dhfr/dhps was observed in 10% of the samples. CONCLUSION: The absence of  PfKelch13 mutants suggests that ACT efficacy remains uncompromised, although  clinical outcome studies are required to confirm this. Analysis of Pfcrt and  Pfmdr-1 shows that CQ-R alleles, probably from previous CQ use, are slowly  decreasing. Likewise, the detection of the dhfr/dhps sextuple mutant highlights  the need to monitor sulfadoxine-pyrimethamine resistance and the emergence of  581G. There is therefore a need for continued antimalarial resistance  surveillance in Senegal.</t>
  </si>
  <si>
    <t>#625</t>
  </si>
  <si>
    <t>s216_milongmelong_2025</t>
  </si>
  <si>
    <t>10.1093/trstmh/traf040</t>
  </si>
  <si>
    <t>Investigating Pfk13 mutations in Plasmodium falciparum natural populations from two malaria-endemic areas of Cameroon.</t>
  </si>
  <si>
    <t>Milong Melong, Charlotte S.; Kojom Foko, Loick P.; Nkemngo, Francis N.; Ndo, Cyrille; Amvongo-Adjia, Nathalie; Russo, Gianluca; Tamgue, Ousman; Tchoumbougnang, François; Morse, Daniel P.; Paganotti, Giacomo M.</t>
  </si>
  <si>
    <t>BACKGROUND: The emergence of Plasmodium falciparum resistance to artemisinin is a huge concern in Africa. We investigated and characterized mutations of Pfk13  propeller sequences from P. falciparum isolates across two endemic areas with  different eco-geographical settings in Cameroon. METHODS: A total of 259 dried  blood spot samples were collected through a cross-sectional survey in two health  facilities located in Bimengue (rural area) and the Efoulan District Hospital in  Yaoundé (urban area). The molecular analysis of Pfk13 was performed using nested  polymerase chain reaction followed by Sanger sequencing. RESULTS: Our findings  highlight that of the 23 mutations found, most of the genetic variants were  observed in Yaoundé, suggesting a possible higher drug pressure in this locality.  Three Pfk13 mutations (F446S, C469W and A681D) were found in polymorphic sites  known to be associated with artemisinin resistance, but with different amino acid  substitutions. In addition, three other mutations have already been reported to  circulate in other African countries, with an unknown impact on delayed response  to artemisinin therapy (P475L, S477F and F628L). CONCLUSIONS: Although there is  an absence of validated artemisinin resistance-associated polymorphisms in the  study, the results highlight the need for further studies to quantify the  frequency of these and other Pfk13 gene polymorphisms over time.</t>
  </si>
  <si>
    <t>#635</t>
  </si>
  <si>
    <t>s219_amusan_2024</t>
  </si>
  <si>
    <t>10.1016/j.actatropica.2024.107435</t>
  </si>
  <si>
    <t>Frequency of chloroquine-resistant haplotype of Plasmodium falciparum (CVIET) in Ibadan, Southwest Nigeria 17 years post-chloroquine withdrawal.</t>
  </si>
  <si>
    <t>Amusan, Abiodun; Akinola, Olugbenga; Akano, Kazeem; Hernández-Castañeda, María; Dick, Jenna K.; Sowunmi, Akintunde; Hart, Geoffrey; Gbotosho, Grace</t>
  </si>
  <si>
    <t>The replacement of chloroquine with artemisinin-based combination therapies (ACTs) for over a decade has had varying impacts on the ability of the malaria  parasite to sustain its chloroquine resistance prowess in different  malaria-endemic regions. We evaluated the frequency of Plasmodium falciparum  chloroquine resistance transporter (PfCRT) mutations in Ibadan, Nigeria 17 years  after the replacement of chloroquine with ACTs for malaria treatment. Fragments  of PfCRT gene from genomic DNA of microscopically confirmed P.  falciparum-infected patients were amplified and sequenced. There were 19% CVIET  mutant and 81% CVMNK wild-type haplotypes on residues 72-76. A220S change were  found in 16.7% of samples occurring concurrently with the CVIET haplotype, while  a Q271E mutation occurred in a PfCRT wild-type isolate. The reduced prevalence of  the PfCRT mutant alleles in this study compared to previous reports suggests a  gradual disappearance of chloroquine-resistant malaria parasites following  reduced drug pressure. It may also be a result of fitness demand on the parasites  in attempts to evolve resistance against the current first-line regimen. However,  evaluating the prevalence of other chloroquine resistance markers such as  Plasmodium falciparum multidrug resistance 1 gene mutations in this population,  and a more robust sample size will help to consolidate these findings.</t>
  </si>
  <si>
    <t>#641</t>
  </si>
  <si>
    <t>s220_onyamboko_2025</t>
  </si>
  <si>
    <t>10.1016/S2214-109X(24)00497-2</t>
  </si>
  <si>
    <t>Congo</t>
  </si>
  <si>
    <t>Pregnant women as a sentinel population for genomic surveillance of malaria in the Democratic Republic of the Congo: a population-based study.</t>
  </si>
  <si>
    <t>Onyamboko, Marie; Wasakul, Varanya; Bakomba, Sarah Benie; Kayembe, Daddy Kalala; Nzambiwishe, Bejos Kifakiou; Ekombolo, Pascal Epe; Badjanga, Benjamen Basara; Maindombe, Jean-Robert Moke; Ngavuka, Jephte Ndundu; Lwadi, Brunette Nsunda; Drury, Eleanor; Ariani, Cristina; Goncalves, Sonia; Chamsukhee, Vanapol; Waithira, Naomi; Verschuuren, Tess D.; Lee, Sue J.; Miotto, Olivo; Fanello, Caterina</t>
  </si>
  <si>
    <t>BACKGROUND: Genomic surveillance is a valuable tool for detecting changes in the drug susceptibility of malaria parasites, enabling timely adjustments to  treatment strategies. However, implementation can be costly and challenging in  high-burden countries, especially when targeting cohorts of children. To address  these challenges, we investigated whether in the Democratic Republic of the Congo  pregnant women attending antenatal care services could act as an effective  sentinel population for children in the same area. METHODS: This population-based  study aimed to target pregnant women in Kinshasa (Democratic Republic of the  Congo), regardless of age, trimester of pregnancy, parity, or previous antenatal  care centre attendance, and children younger than 14 years living in the same  area. Women were invited to participate and enrolled during their routine  antenatal care visit. For children, we originally planned to conduct standard  school-based surveys, but implementation was affected by the COVID-19 pandemic  and subsequent vaccination campaign. Therefore, we adopted an alternative  approach, setting up screening posts in existing health centres and, with the  support of community health workers, encouraging families to visit the posts at  their convenience. The study was done in two areas of Kinshasa, urban (Binza) and  semirural (Maluku), where malaria transmission is endemic and perennial. Blood  samples from malaria-positive cases were genotyped using an amplicon sequencing  platform, to allow comparisons of Plasmodium falciparum genomes between the two  cohorts and estimations of drug resistance mutation prevalence. The study is  registered with ClinicalTrials.gov, NCT05072613. FINDINGS: Between Nov 11, 2021,  and June 21, 2023, 2794 children and 4001 pregnant women were recruited to the  study. Malaria prevalence by rapid diagnostic test was 49·0% (95% CI 47·1-50·8)  in children and 19·1% (17·9-20·3) in pregnant women. Parasite populations sampled  from the two cohorts showed highly similar allele frequencies at all tested loci,  including drug resistance markers potentially under selection. Pregnant women did  not have higher frequencies of sulfadoxine-pyrimethamine resistant haplotypes,  which undermine preventive treatments, than children and we did not find any  kelch13 mutations at significant frequency. Although parasite densities were  lower in pregnant women, the complexity of infection was similar to that in  children. We found no evidence of Plasmodium vivax infections in the study.  INTERPRETATION: A cohort of pregnant women produced highly similar results for  antimalarial drug resistance surveillance as a cohort of children from the same  area, through implementation of simple and efficient genomic surveillance systems  integrated into routine antenatal care activities, while benefiting women with  diagnosis and treatment. FUNDING: Bill &amp; Melinda Gates Foundation and Wellcome  Trust.</t>
  </si>
  <si>
    <t>Lancet Glob Health</t>
  </si>
  <si>
    <t>#652</t>
  </si>
  <si>
    <t>s221_joão_2025</t>
  </si>
  <si>
    <t>10.1101/2025.04.08.25325242</t>
  </si>
  <si>
    <t xml:space="preserve">WITHDRAWN </t>
  </si>
  <si>
    <t>Geographical Heterogeneity in Antimalarial Resistance Markers Revealed by Genomic Surveillance in Angola, 2023.</t>
  </si>
  <si>
    <t>João, Maria Florinda; Aranda-Díaz, Andrés; De Amaral, Faith; Makhanthisa, Takalani I.; Lauterbach, Sonja B.; Chisenga, Mukosha; Mangena, Brighton; Maquina, Paulo; Routledge, Isobel; Sikaala, Chadwick; Chimumbwa, John; Jandondo, Domingos; Martins, José Franco; Raman, Jaishree; Smith, Jennifer L.; Dimbu, Pedro Rafael</t>
  </si>
  <si>
    <t>Plasmodium falciparum malaria remains a leading cause of mortality in Angola, with emerging antimalarial resistance threatening treatment and prevention  strategies. Efficacy of artemether-lumefantrine, one of the country's preferred  malaria treatments, has been reported below 90% in two provinces, underscoring  the need for routine resistance surveillance and efficacy monitoring to guide  policy decisions. Between March and July 2023, dried blood spots and demographic  data were collected from P. falciparum-positive participants at 16 health  facilities across 8 provinces. Multiplexed amplicon deep sequencing was used to  characterize single nucleotide polymorphisms in 12 genes linked with resistance,  estimate allele frequencies, and detect co-infecting non-falciparum Plasmodium  species. Sequence data from 817 samples revealed significant geographic variation  in resistance markers. In the southeast, artemisinin partial resistance markers  (k13 P574L, P441L), were detected at very low prevalence (&lt;0.1%), while the  quintuple dhps/dhfr haplotype, linked to sulfadoxine-pyrimethamine (SP)  resistance, was very prevalent (&gt;40% of samples). In the northwest, the sextuple  dhps/dhfr haplotype, a marker of higher SP resistance, was most prevalent in  Zaire (14.2%). The crt CVIET haplotype, associated with chloroquine resistance,  had a national prevalence of 15.9%, detected in over 48% of samples from Zaire  and Uíge. The mdr1 N86 genotype, linked to reduced lumefantrine susceptibility,  was widespread, detected in 99.3% of samples. Co-infections of P. falciparum and  non-falciparum species were rare with no clear geographic distribution. No P.  vivax co-infections were detected. These findings highlight the need for  continued monitoring to safeguard treatment efficacy, reinforcing the importance  of molecular surveillance in malaria control strategies.</t>
  </si>
  <si>
    <t>medRxiv</t>
  </si>
  <si>
    <t>#653</t>
  </si>
  <si>
    <t>s222_nuwa_2025</t>
  </si>
  <si>
    <t>10.1016/S1473-3099(24)00746-1</t>
  </si>
  <si>
    <t>Effectiveness of sulfadoxine-pyrimethamine plus amodiaquine and dihydroartemisinin-piperaquine for seasonal malaria chemoprevention in Uganda: a  three-arm, open-label, non-inferiority and superiority, cluster-randomised,  controlled trial.</t>
  </si>
  <si>
    <t>Nuwa, Anthony; Baker, Kevin; Kajubi, Richard; Nnaji, Chukwudi A.; Theiss-Nyland, Katherine; Odongo, Musa; Kyagulanyi, Tonny; Nabakooza, Jane; Salandini, David; Asua, Victor; Nakirunda, Maureen; Rassi, Christian; Rutazaana, Damian; Achuma, Richard; Sagaki, Patrick; Bwanika, John Baptist; Magumba, Godfrey; Yeka, Adoke; Nsobya, Sam; Kamya, Moses R.; Tibenderana, James; Opigo, Jimmy</t>
  </si>
  <si>
    <t>BACKGROUND: Seasonal malaria chemoprevention (SMC) with sulfadoxine-pyrimethamine combined with amodiaquine (SPAQ) effectively protects eligible children from  malaria in areas of high and seasonal transmission. However, concerns about  parasite resistance to sulfadoxine-pyrimethamine in East and Southern Africa  necessitate evaluating alternative drug regimens. This study assessed the  effectiveness of SPAQ and dihydroartemisinin-piperaquine for SMC in Uganda.  METHODS: This three-arm, open-label, non-inferiority and superiority,  cluster-randomised, controlled trial was conducted in Karamoja subregion, Uganda,  among children aged 3-59 months and 6-59 months for SPAQ and  dihydroartemisinin-piperaquine, respectively. Of 427 villages, 380 were randomly  assigned (1:1) to the SPAQ group and dihydroartemisinin-piperaquine group, and 47  were assigned to the control group (no SMC). The superiority component compared  the SPAQ and dihydroartemisinin-piperaquine groups with the control group,  whereas the non-inferiority component compared the dihydroartemisinin-piperaquine  group with the SPAQ group. The primary endpoint was confirmed malaria incidence  using rapid diagnostic tests or microscopy. Survival analyses were done on an  intention-to-treat basis (in all randomised participants), with adjustments made  for covariate imbalances at baseline. Additionally, molecular markers associated  with resistance to sulfadoxine-pyrimethamine and amodiaquine were analysed on 750  malaria-positive blood samples from children younger than 5 years before and  after five SMC cycles. This trial was registered with ClinicalTrials.gov,  NCT05323721, and has been completed. FINDINGS: During June 18-30, 2022, 3881  children were enrolled; 1755 in SPAQ, 1736 in dihydroartemisinin-piperaquine, and  390 in control villages. Of these children, 3629 were analysed. Incidence rates  were 0·90 cases per 100 person-months in the SPAQ group, 0·80 cases per 100  person-months in the dihydroartemisinin-piperaquine group, and 18·26 cases per  100 person-months in the control group. SPAQ and dihydroartemisinin-piperaquine  reduced malaria risk by 94% (hazard ratio [HR] 0·06 [95% CI 0·04-0·08]; p&lt;0·001)  and 96% (0·04 [0·03-0·06]; p&lt;0·001), respectively. Based on the prespecified  non-inferiority margin of 1·4, there was non-inferiority between the protective  effectiveness of dihydroartemisinin-piperaquine and that of SPAQ (HR 0·90 [95% CI  0·58-1·39]). Prevalence of mutations linked to moderate (Plasmodium falciparum  dihydrofolate reductase [PfDHFR] and P falciparum dihydropteroate synthetase  reductase [PfDHPS]) and high (PfDHFR Ile164Leu and PfDHPS Ala581Gly)  sulfadoxine-pyrimethamine resistance were more than 88% and less than 5%,  respectively. Mutations associated with 4-aminoquinolone resistance (P falciparum  multidrug resistance protein-1 [PfMDR1] Asp1246Tyr and PfMDR1 Asn86Tyr) were less  than 1%. There was no significant increase in the prevalence of antifolate and  artemisinin partial resistance-associated mutations, but a decrease was observed  for key aminoquinoline resistance-associated alleles: P falciparum chloroquine  resistance transporter protein Lys76Thr, P falciparum multidrug resistance  protein Asn86Tyr, and PfMDR1 Asp1246Tyr (p&lt;0·001). No serious or fatal adverse  events were reported. INTERPRETATION: SPAQ and dihydroartemisinin-piperaquine  effectively reduced malaria in children younger than 5 years, with no safety  concerns. There was no evidence of resistance selection by SMC. Although these  findings support SPAQ-based SMC in Eastern and Southern Africa, ongoing  resistance surveillance and efficacy monitoring are essential for sustained  impact. FUNDING: GiveWell. TRANSLATION: For the Swahili translation of the  abstract see Supplementary Materials section.</t>
  </si>
  <si>
    <t>Lancet Infect Dis</t>
  </si>
  <si>
    <t>#655</t>
  </si>
  <si>
    <t>s223_kimani_2025</t>
  </si>
  <si>
    <t>10.1186/s12936-024-05214-4</t>
  </si>
  <si>
    <t>Malaria prevalence, transmission potential and efficacy of artemisinin-based combination therapy in the Kenyan Central highlands: a zone previously  characterized as malaria-free.</t>
  </si>
  <si>
    <t>Kimani, Francis T.; Thiongó, Kelvin K.; Otinga, Maureen A.; Mbabu, Lewis K.; Ombati, Mary N.; Kitur, Stanley K.; Ochieng', Sarah A.; Wachira, Lucy N.; Matoke-Muhia, Damaris K.; Kamau, Luna</t>
  </si>
  <si>
    <t>BACKGROUND: The current study sought to re-evaluate malaria prevalence, susceptibility to artemisinin-based combination therapy (ACT), transmission  patterns and the presence of malaria vectors in the Kikuyu area of the Kenyan  Central highlands, a non-traditional/low risk malaria transmission zone where  there have been anecdotal reports of emerging malaria infections. METHODS:  Sampling of adult mosquitoes was done indoors, while larvae were sampled outdoors  in June 2019. The malaria clinical study was an open label non-randomized  clinical trial where the efficacy of one ACT drug, was evaluated in two health  facilities. Microscopy was used at the facility while nested 18 s rRNA subunit  gene PCR amplification and MSP-1 and MSP-2 family alleles genotyping was done in  the laboratory. Anti-malarial resistance gene markers Pfk13 and Pfmdr1 were  profiled. RESULTS: Anopheles funestus mosquitoes were the predominant vectors at  76.35% of all larvae collections (N = 148). Only two non-blood fed, parasites  negative adult mosquitoes were collected from houses sampled. Parasitological  analysis of the 838 patients screened resulted in 41 positives whose treatment  outcome was 100% Adequate Clinical and Parasitological Response (ACPR). From the  35 positive samples genotyped, 29 (82.9%) were polyclonal. The overall mean MOI  was 2.8 (95% CI 2.36-3.35). The MOI for msp-1 and msp-2 genes, was 2.02 (95% CI  0.72-2.27) and 2.9 (95% CI 2.22-3.55), and parasite strains range of 1-3 and 1-7,  respectively. Polyclonal variation in the two genes was at 76.4% and 70.3%,  respectively. The Pfk13 gene revealed no single nucleotide polymorphisms (SNP)  associated with suspected artemisinin resistance nor was there any pfmdr1 N86  mutant allele detected. CONCLUSION: The Plasmodium infections positivity rate  observed in the study site was very low but significant. A proportion of  participants who tested positive did not report recent history of travel. This  observation together with the finding of competent known vectors can probably  suggest that several of the cases could have been acquired and transmitted  locally. The observed genetic diversity and polyclonal variations was on the  contrary and suggest that these are imported cases. This however does not rule  out a likely changing malaria transmission scenario in this zone, thus the need  for further investigations.</t>
  </si>
  <si>
    <t>#763</t>
  </si>
  <si>
    <t>s224_nyamngee_2025</t>
  </si>
  <si>
    <t>10.11604/pamj.2025.50.73.45826</t>
  </si>
  <si>
    <t>Prevalence of molecular markers associated with Plasmodium falciparumresistance to chloroquine and sulphadoxine/pyrimethamine in three malariaendemic local areas of Benue State, Nigeria</t>
  </si>
  <si>
    <t>Nyamngee, Amase; Ikpe, Raphael Terlumun; Sulaiman, Mariam Kehinde</t>
  </si>
  <si>
    <t>INTRODUCTION: currently, malaria (primarily caused by Plasmodiumfalciparum) remains prevalent in over 106 countries and is one of the mostsevere public health problems globally, leading the cause of deathsespecially among children and pregnant women particularly in developingcountries. This study determined the drug-resistance molecular markers inPlasmodium falciparum infection in three malaria endemic local areas ofBenue State, North-central Nigeria between June 2023 and September 2024.METHODS: the conclusive diagnosis of P. falciparum was based onidentifying the characteristic asexual stage of the parasite inGiemsa-stained blood smears examined under a compound microscope. The DNA(Deoxyribonucleic acid) extraction from P. falciparum positive bloodsamples was done using Chelex extraction method. Nested polymerase chainreaction followed by Restriction Fragment Length Polymorphisms (PCR/RFLP)were used for the detection of Plasmodium falciparum Chloroquineresistance transporter (pfcrt), P. falciparum multidrug resistance 1(pfmdr1), P. falciparum dihydrofolate reductase (pfdhfr) and P. falciparumdihydropteroate synthase (pfdhps). Data were analysed using SPSS Version24.00 and inferences were drawn for Statistical significance at P&lt;0.05.RESULTS: the results revealed well-characterized molecular markers of P.falciparum resistance to the 4-aminoquinolines and the antifolate drugsindicating a high prevalence of resistance: 41%, 60%, 51% and 47% of P.falciparum isolates at codons N86Y, K76T, S108N, N51I and A437Grespectively. CONCLUSION: the prevalence of resistance of isolates toantimalarial drugs was significantly high. Therefore, strategies to reducemultiple-strain infections should be implemented to improve antimalarialdrug efficacy and reduce the rate of spread of drug resistance.</t>
  </si>
  <si>
    <t>The Pan African medical journal</t>
  </si>
  <si>
    <t>#770</t>
  </si>
  <si>
    <t>s225_olupot-olupot_2025</t>
  </si>
  <si>
    <t>10.1186/s12936-025-05439-x</t>
  </si>
  <si>
    <t>Comprehensive analysis of molecular markers linked to antimalarial drugresistance in Plasmodium falciparum in Northern, Northeastern and EasternUganda</t>
  </si>
  <si>
    <t>Olupot-Olupot, Peter; Paasi, George; Katairo, Thomas; Alunyo, Jimmy Patrick; Nakiyemba, Alice; Ocen, Gilbert Gilibrays; Pande, Stephen; Alaroker, Florance; Okiror, William; Ocen, Emmaluel; Oula, Alex; Okalebo, Charles Benard; Paul, Ongodia; Amorut, Denis; Tukwasibwe, Stephen; Ndidde, Susan Nabadda; Sewanyana, Isaac; Nsobya, Samuel L</t>
  </si>
  <si>
    <t>BACKGROUND: In Uganda, antimalarial resistance in Plasmodium falciparumposes serious public health and treatment challenges. Globally, recentdata have highlighted the roles of following genes in malaria resistance:Plasmodium falciparum dihydrofolate reductase (Pfdhfr), Plasmodiumfalciparum dihydropteroate synthetase (Pfdhps), Plasmodium falciparumchloroquine resistance transporter (Pfcrt), Plasmodium falciparummultidrug resistance gene 1 (Pfmdr1), and Plasmodium falciparum K13propeller domain (Pfk13). This study investigated the prevalence andcharacteristics of P. falciparum molecular markers linked to antimalarialresistance in Northern, Northeastern, and Eastern Uganda. METHODS: Thiscross-sectional study collected 200 dried blood samples from children (2months to 12 years) in Northern, Eastern, and Northeastern Uganda. Sampleswere from malaria-positive cases confirmed by rapid diagnostic tests andmicroscopy. Genomic DNA was extracted from these samples and analysedusing Molecular Inversion Probes to detect Plasmodium falciparum geneticmutations. The sequencing was performed on the Illumina MiSeq platform,and raw data was organized and analysed with MIPTools software. RESULTS:The study sequenced over 50% of the samples at each site as follows: Apac87.7% (43/49), Moroto 68.0% (34/50), Soroti 65.0% (13/20) and Mbale 53.1%(43/81). The Pfk13 A675V and C469Y mutations varied from 0 to 23.3% and8.3-14.3%, in four sites, with consistently low prevalence in Apac. ThePfdhfr N51I and S108N mutations were fixed in all districts, while C59Rwas fixed in Moroto and nearing fixation (92-97%) in other regions. Theemerging I164L mutation ranged from 1 to 10% in all sites. The PfdhpsA437G and K540E mutations were fixed in Soroti, with 3-5% wild-typeprevalence in other sites. The A581G mutation showed 2.3% mixed genotypesin Mbale only. The Pfcrt K76T was predominantly wild type, except for 5%mutants in Mbale and Moroto. The pfmdr1 N86Y were wild type across alldistricts, except for 15% mixed genotypes in Soroti. CONCLUSION: Thisstudy reveal rising partial artemisinin resistance and widespreadantifolate resistance surpassing WHO thresholds in Northern, Northeastern,and Eastern Uganda. Emerging super-resistant parasites pose a seriousthreat to malaria control, necessitating urgent enhanced surveillance andalternative treatment strategies.</t>
  </si>
  <si>
    <t>Malaria journal</t>
  </si>
  <si>
    <t>#802</t>
  </si>
  <si>
    <t>s227_assey_2025</t>
  </si>
  <si>
    <t>10.1186/s12936-025-05447-x</t>
  </si>
  <si>
    <t>Artemisinin and partner drug resistance markers in Plasmodium falciparumfrom Tanzanian paediatric malaria patients, 2016-2022</t>
  </si>
  <si>
    <t>Assey, Aveline; Scialabba, Silvia; Zinga, Maria Mgella; Koliopoulos, Philip; van Loon, Welmoed; Minja, Caroline A; Groendahl, Britta; Plett, Johannes; Gehring, Stephan; Mirambo, Mariam M; Kayange, Neema; Mockenhaupt, Frank P; Mshana, Stephen E</t>
  </si>
  <si>
    <t>BACKGROUND: Plasmodium falciparum malaria remains a significant publichealth concern in Tanzania, particularly among children under 5 years ofage. The emergence and spread of partial artemisinin resistance in EastAfrica add to this concern. Specific mutations in the P. falciparumkelch-13 (Pfk13) and multidrug drug resistance 1 (Pfmdr1) genes areassociated with artemisinin resistance and lumefantrine tolerance,respectively. The emergence of antimalarial drug resistance may beassociated with unstable transmission in sub-Saharan Africa (SSA).Time-trends of Pfk13 and Pfmdr1 mutations as well as the multiplicity ofinfection (MOI) as a proxy for transmission intensity were investigated.METHODS: Between 2016 and 2022, 173 P. falciparum PCR-positive sampleswere collected from febrile inpatient and outpatient children aged 3months to 18 years at selected health facilities in Mwanza, Tanzania.Pfk13 and Pfmdr1 were amplified by PCR and Sanger-sequenced. PolymorphicPfmsp1 and Pfmsp2 allelic markers were genotyped by nested PCR in 168samples to assess MOI. RESULTS: Among 143 samples successfully sequencedfor Pfk13, 7.0% (10/143) exhibited non-synonymous mutations including theWHO-validated artemisinin resistance marker R561H in 1.4% (2 patients,2022). As for Pfmdr1, the wild-type N86 allele was observed in 100%(97/97) of isolates, and about half (55/97) carried the wild-type Y184allele. The mean multiplicity of infection (MOI) was 1.5, and did notchange significantly over time. Single-genotype and polyclonal infectionswere observed in 59.3% (80/135), and 40.7% (55/135) respectively.CONCLUSION: This study from Mwanza, Tanzania demonstrates the presence ofa validated artemisinin resistance marker Pfk13 R561H in 2022 and suggestsincreased lumefantrine tolerance. MOI as a proxy marker of endemicity waslow and stable over the six years of observation. The detection of theseresistance markers reinforces the need for continuous genetic surveillanceto sustain the efficacy of antimalarial therapies in paediatric patients.</t>
  </si>
  <si>
    <t>#944</t>
  </si>
  <si>
    <t>s228_vanloon_2025</t>
  </si>
  <si>
    <t>10.1128/aac.01755-24</t>
  </si>
  <si>
    <t>Plasmodium falciparum Kelch-13 artemisinin partial resistance markers inFort Portal, Western Uganda, 2024</t>
  </si>
  <si>
    <t>van Loon, Welmoed; Schallenberg, Emma; Mande, Emmanuel; Musinguzi, Patrick; Ngobi, Paul; Atukunda, Sharon; Rubaihayo, John; Mockenhaupt, Frank P</t>
  </si>
  <si>
    <t>In Fort Portal, Uganda, artemisinin resistance-associated mutations inPlasmodium falciparum Kelch13 (n = 126) were present in 4.8% (675V, 561H,and 441L). A mutation of unknown relevance, 490T, occurred in 9.5%. PfMDR1variants suggested increased lumefantrine tolerance (N86, 100%). Mutation500N was absent, and 199S occurred in 12.8%. The latter is of unknownrelevance. These data indicate an incipient emergence of artemisininresistance in a crucial location between Rwandan and Ugandan resistancehotspots and hardly affected DR Congo.</t>
  </si>
  <si>
    <t>Antimicrobial agents and chemotherapy</t>
  </si>
  <si>
    <t>#1142</t>
  </si>
  <si>
    <t>s229_adika_2025</t>
  </si>
  <si>
    <t>10.1093/jac/dkaf129</t>
  </si>
  <si>
    <t>Plasmodium falciparum isolates: ex vivo drug response</t>
  </si>
  <si>
    <t>Adika, Edem; Saiid, Samirah; Amoako, Enock K; Sakyi, Mona-Liza E; Osumanu, Ahmed; Morang'a, Collins; Dosoo, Daniel; Chirawurah, Jersley D; Awandare, Gordon A; Amambua-Ngwa, Alfred; Aniweh, Yaw; Amenga-Etego, Lucas N</t>
  </si>
  <si>
    <t>OBJECTIVES: While artemisinin-based combination therapies (ACTs) areeffective in sub-Saharan Africa, clinical isolates that are refractory toartemisinin derivatives are emerging in East Africa and ACT partner drugsare becoming less effective in West Africa. We investigated the ex vivoresponses of Plasmodium falciparum clinical isolates to frontlineantimalarials and the contribution of validated molecular markers ofantimalarial drug resistance. METHODS: Ex vivo susceptibility was measuredfor 66 clinical isolates collected from uncomplicated malaria patients.IC50 was measured for dihydroartemisinin, artesunate, lumefantrine,amodiaquine and chloroquine using a SYBR Green I growth inhibition assay.We also assessed known drug resistance-mediating polymorphisms in pfcrt,pfmdr1 and pfkelch13 using Oxford Nanopore amplicon sequencing. RESULTS:P. falciparum clinical isolates were susceptible to dihydroartemisinin andartesunate. Clinical isolates showed a wide distribution of susceptibilityto lumefantrine and amodiaquine, with some parasites having IC50 valuesabove reference cut-offs for resistance to lumefantrine (150 nM) andamodiaquine (60 nM), suggesting decreased drug susceptibility.Ninety-seven percent of the isolates carried WT pfcrt K76 and pfmdr1 N86alleles, reported to mediate reduced response to lumefantrine andartemether/lumefantrine. pfmdr1 N86 and 184F haplotype was carried by62.1% of parasites. None of the clinical isolates carried validatedpfkelch13 mutations known to mediate artemisinin partial resistance.CONCLUSIONS: Clinical isolates from coastal Ghana remain susceptible toartemisinin derivatives in commonly used ACTs in Ghana. However, weobserved lower susceptibility to the ACT partner drugs lumefantrine andamodiaquine, suggesting the emergence of drug-tolerance phenotypes.Consistent surveillance of drug phenotype-genotype is needed to supportACT efficacy in Ghana.</t>
  </si>
  <si>
    <t>The journal of antimicrobial chemotherapy</t>
  </si>
  <si>
    <t>#620</t>
  </si>
  <si>
    <t>s230_mihreteab_2025</t>
  </si>
  <si>
    <t>10.1016/S2666-5247(24)00172-1</t>
  </si>
  <si>
    <t>Eritrea</t>
  </si>
  <si>
    <t>The spread of molecular markers of artemisinin partial resistance and diagnostic evasion in Eritrea: a retrospective molecular epidemiology study.</t>
  </si>
  <si>
    <t>Mihreteab, Selam; Anderson, Karen; Fuente, Irene Molina de la; Sutherland, Colin J.; Smith, David; Cunningham, Jane; Beshir, Khalid B.; Cheng, Qin</t>
  </si>
  <si>
    <t>BACKGROUND: Eritrea was the first African country to discontinue the use of histidine rich protein 2 (HRP2)-detecting rapid diagnostic tests (RDTs) for  malaria diagnosis following reports of a high prevalence of pfhrp2/3-deleted  Plasmodium falciparum parasites causing false-negative results in the country.  Eritrea was also the first African country to report partial artemisinin  resistance due to the P falciparum kelch13 (pfk13) Arg622Ile mutation. We aimed  to characterise the spatial distribution of pfk13 mutants and their interactions  with pfhrp2/3 deletions in Eritrea and to assess the role of the use of  HRP2-detecting RDTs and antimalarial (artesunate-amodiaquine) therapy in the  spread of the two variants. METHODS: We conducted a retrospective molecular  epidemiological analysis of pfk13 mutations and pfhrp2/3 deletions in existing  P falciparum-infected blood samples collected as part of previous pfhrp2/3  deletion and severe malaria studies. Samples were collected in March, 2016 and  between September, 2018, and January, 2020, from symptomatic patients seeking  care at 15 health centres in four administration zones (Semenawi Keyih Bahri,  Gash Barka, Anseba, and Debub) in Eritrea. A fragment spanning the propeller  region of pfk13 was amplified from samples and sequenced using Sanger sequencing  or targeted amplicon sequencing to identify genetic mutations. Deletions of  pfhrp2/3 genes in samples were determined using multiplex quantitative PCR.  Parasite haplotypes and genetic relatedness of parasite haplotypes were  determined previously using microsatellite marker typing. The primary objective  was to determine the prevalence of pfk13 mutations at health centres and  administrative zones. The secondary objective was to investigate whether pfk13  mutants and pfhrp2/3 deleted parasites converge. FINDINGS: We sequenced  50 samples collected in March, 2016 from the Semenawi Keyih Bahri zone and  identified no pfk13 mutations. By contrast, in 587 samples included in this study  that were collected from health centres in Gash Barka, Anseba, and Debub in  2018-20, we detected five different single non-synonymous mutations: Glu605Lys,  Arg622Ile, Asn657Lys, Lys658Glu, and Ser679Leu. The most prevalent mutation was  pfk13 Arg622Ile, which was detected in samples collected from all nine health  centres where more than five samples were available across all three  administration zones, with an overall prevalence of 11·9% (70 of 587 samples;  range 5·9-28·0%). We identified 22 unique pfk13 Arg622Ile mutant haplotypes among  26 samples tested, of which 13 (59·1%) were genetically related, whereas the  remaining nine (40·9%) were not. The prevalence of pfk13 Arg622Ile was  significantly higher in parasites with a single pfhrp3 deletion (46 [18·0%] of  255 samples) than in parasites without pfhrp2/3 deletions (ten [6·2%] of  161 samples; odds ratio 3·89 [95% CI 1·59-7·61]; p=0·0006) and with dual  pfhrp2/3-deleted parasites (13 [9·0%] of 145; 2·23 [1·13-4·68]; p=0·018).  INTERPRETATION: The geographical spread of the pfk13 Arg622Ile mutation might  have initially resulted from the clonal expansion and spread of pfhrp2/3  deletions under the test-and-treat policy using HRP2-detecting RDTs.  Subsequently, selective pressure from artemisinin combination therapy could have  further facilitated the spread of both pfk13 Arg622Ile and pfhrp2/3 deletions.  Continuous monitoring of trends in pfk13 and pfhrp2/3 variants is needed to  inform effective malaria control and elimination strategies in Eritrea and other  African countries. FUNDING: US Department of Defense Armed Forces Health  Surveillance Division, Global Emerging Infections Surveillance Branch  (AFHSD/GEIS), and Wellcome Trust.</t>
  </si>
  <si>
    <t>Lancet Microbe</t>
  </si>
  <si>
    <t>#1614</t>
  </si>
  <si>
    <t>s231_ali_2022</t>
  </si>
  <si>
    <t>10.1016/j.heliyon.2022.e11861</t>
  </si>
  <si>
    <t>Allelic frequencies of mutants of the Plasmodium falciparum, quinoline and folate metabolizing genes in the west region of Cameroon</t>
  </si>
  <si>
    <t>Heliyon</t>
  </si>
  <si>
    <t>#1665</t>
  </si>
  <si>
    <t>s232_wamae_2022</t>
  </si>
  <si>
    <t>10.1093/infdis/jiac144</t>
  </si>
  <si>
    <t>Amplicon Sequencing as a Potential Surveillance Tool for Complexity of Infection and Drug Resistance Markers in Plasmodium falciparum Asymptomatic Infections</t>
  </si>
  <si>
    <t>#1701</t>
  </si>
  <si>
    <t>s233_issa_2022</t>
  </si>
  <si>
    <t>10.3390/tropicalmed7080155</t>
  </si>
  <si>
    <t>Niger</t>
  </si>
  <si>
    <t>Prevalence of Mutations in the Pfdhfr, Pfdhps, and Pfmdr1 Genes of Malarial Parasites Isolated from Symptomatic Patients in Dogondoutchi, Niger</t>
  </si>
  <si>
    <t>Trop Med Infect Dis</t>
  </si>
  <si>
    <t>#460</t>
  </si>
  <si>
    <t>s0004_fola_eth_622i</t>
  </si>
  <si>
    <t>10.1038/s41564-023-01461-4</t>
  </si>
  <si>
    <t>ETH</t>
  </si>
  <si>
    <t>Plasmodium falciparum resistant to artemisinin and diagnostics have emerged in Ethiopia.</t>
  </si>
  <si>
    <t>Fola AA; Feleke SM; Mohammed H; Brhane BG; Hennelly CM; Assefa A; Crudal RM; Reichert E; Juliano JJ; Cunningham J; Mamo H; Solomon H; Tasew G; Petros B; Parr JB; Bailey JA</t>
  </si>
  <si>
    <t>Diagnosis and treatment of Plasmodium falciparum infections are required for effective malaria control and are pre-requisites for malaria elimination efforts; hence we need to monitor emergence, evolution and spread of drug- and diagnostics-resistant parasites. We deep sequenced key drug-resistance mutations and 1,832 SNPs in the parasite genomes of 609 malaria cases collected during a diagnostic-resistance surveillance study in Ethiopia. We found that 8.0% (95% CI 7.0-9.0) of malaria cases were caused by P. falciparum carrying the candidate artemisinin partial-resistance kelch13 (K13) 622I mutation, which was less common in diagnostic-resistant parasites mediated by histidine-rich proteins 2 and 3 (pfhrp2/3) deletions than in wild-type parasites (P = 0.03). Identity-by-descent analyses showed that K13 622I parasites were significantly more related to each other than to wild type (P &lt; 0.001), consistent with recent expansion and spread of this mutation. Pfhrp2/3-deleted parasites were also highly related, with evidence of clonal transmissions at the district level. Of concern, 8.2% of K13 622I parasites also carried the pfhrp2/3 deletions. Close monitoring of the spread of combined drug- and diagnostic-resistant parasites is needed.</t>
  </si>
  <si>
    <t>#466</t>
  </si>
  <si>
    <t>s0005_mihreteab_eritrea_622i</t>
  </si>
  <si>
    <t>10.1056/NEJMoa2210956</t>
  </si>
  <si>
    <t>ERI</t>
  </si>
  <si>
    <t>Increasing Prevalence of Artemisinin-Resistant HRP2-Negative Malaria in Eritrea.</t>
  </si>
  <si>
    <t>Mihreteab S; Platon L; Berhane A; Stokes BH; Warsame M; Campagne P; Criscuolo A; Ma L; Petiot N; Doderer-Lang C; Legrand E; Ward KE; Zehaie Kassahun A; Ringwald P; Fidock DA; Ménard D</t>
  </si>
  <si>
    <t>BACKGROUND: Although the clinical efficacy of antimalarial artemisinin-based combination therapies in Africa remains high, the recent emergence of partial resistance to artemisinin in Plasmodium falciparum on the continent is troubling, given the lack of alternative treatments. METHODS: In this study, we used data from drug-efficacy studies conducted between 2016 and 2019 that evaluated 3-day courses of artemisinin-based combination therapy (artesunate-amodiaquine or artemether-lumefantrine) for uncomplicated malaria in Eritrea to estimate the percentage of patients with day-3 positivity (i.e., persistent P. falciparum parasitemia 3 days after the initiation of therapy). We also assayed parasites for mutations in Pfkelch13 as predictive markers of partial resistance to artemisinin and screened for deletions in hrp2 and hrp3 that result in variable performance of histidine rich protein 2 (HRP2)-based rapid diagnostic tests for malaria. RESULTS: We noted an increase in the percentage of patients with day-3 positivity from 0.4% (1 of 273) in 2016 to 1.9% (4 of 209) in 2017 and 4.2% (15 of 359) in 2019. An increase was also noted in the prevalence of the Pfkelch13 R622I mutation, which was detected in 109 of 818 isolates before treatment, from 8.6% (24 of 278) in 2016 to 21.0% (69 of 329) in 2019. The odds of day-3 positivity increased by a factor of 6.2 (95% confidence interval, 2.5 to 15.5) among the patients with Pfkelch13 622I variant parasites. Partial resistance to artemisinin, as defined by the World Health Organization, was observed in Eritrea. More than 5% of the patients younger than 15 years of age with day-3 positivity also had parasites that carried Pfkelch13 R622I. In vitro, the R622I mutation conferred a low level of resistance to artemisinin when edited into NF54 and Dd2 parasite lines. Deletions in both hrp2 and hrp3 were identified in 16.9% of the parasites that carried the Pfkelch13 R622I mutation, which made them potentially undetectable by HRP2-based rapid diagnostic tests. CONCLUSIONS: The emergence and spread of P. falciparum lineages with both Pfkelch13-mediated partial resistance to artemisinin and deletions in hrp2 and hrp3 in Eritrea threaten to compromise regional malaria control and elimination campaigns. (Funded by the Bill and Melinda Gates Foundation and others; Australian New Zealand Clinical Trials Registry numbers, ACTRN12618001223224, ACTRN12618000353291, and ACTRN12619000859189.).</t>
  </si>
  <si>
    <t>N Engl J Med</t>
  </si>
  <si>
    <t>#548</t>
  </si>
  <si>
    <t>s0012_tes_kagera_tza</t>
  </si>
  <si>
    <t>10.1016/S1473-3099(24)00362-1</t>
  </si>
  <si>
    <t>TZA</t>
  </si>
  <si>
    <t>Evidence of artemisinin partial resistance in northwestern Tanzania: clinical and molecular markers of resistance.</t>
  </si>
  <si>
    <t>Ishengoma DS; Mandara CI; Bakari C; Fola AA; Madebe RA; Seth MD; Francis F; Buguzi CC; Moshi R; Garimo I; Lazaro S; Lusasi A; Aaron S; Chacky F; Mohamed A; Njau RJA; Kitau J; Rasmussen C; Bailey JA; Juliano JJ; Warsame M</t>
  </si>
  <si>
    <t>BACKGROUND: In 2021, nationwide malaria molecular surveillance revealed a high prevalence of a validated artemisinin resistance marker, the kelch13 (k13) Arg561His mutation, in the Kagera region of northwestern Tanzania. We aimed to investigate the efficacy of artemether-lumefantrine and artesunate-amodiaquine and to confirm the presence of artemisinin partial resistance (ART-R) in the Karagwe district of this region. METHODS: This single-arm, therapeutic efficacy study was carried out at the Bukangara dispensary in the Karagwe district of the Kagera region in northwestern Tanzania. Eligible participants were aged between 6 months and 120 months, had confirmed Plasmodium falciparum asexual parasitaemia, and met other inclusion criteria according to WHO's standard protocol. Participants were enrolled, treated sequentially with either artemether-lumefantrine or artesunate-amodiaquine, and assessed clinically and parasitologically for 28 days as per WHO protocol. Parasitaemia was measured every 8 h until day 3, on day 7, and then during weekly follow-up visits until day 28. Mutations in the k13 gene and extended haplotypes with the mutations were analysed, and comparisons were made with previous samples collected in the same region of Kagera and in Rwanda and southeast Asia. The primary endpoint was PCR-corrected cure rate. FINDINGS: Between April 29 and Sept 1, 2022, 343 patients were screened, of whom 176 were enrolled: 88 in each treatment group. The PCR-corrected cure rate was 98% (95% CI 91-100) in the artemether-lumefantrine group and 100% (96-100) in the artesunate-amodiaquine group. Persistent parasitaemia on day 3 occurred in 11 (13%) of 88 patients in the artemether-lumefantrine group and 17 (19%) of 88 patients in the artesunate-amodiaquine group. Arg561His mutations on day 0 and parasitaemia on day 3 were reported in eight (9%) of 87 patients in the artemether-lumefantrine group and ten (12%) of 86 patients in the artesunate-amodiaquine group. The median parasite clearance half-life in patients harbouring parasites with Arg561His mutation was 6·1 h in the artemether-lumefantrine group and 6·0 h in the artesunate-amodiaquine group. Parasites with the Arg561His mutation were not similar to those from southeast Asia and Rwanda but had similar haplotypes to parasites reported in the same Tanzanian region of Kagera in 2021. INTERPRETATION: This study confirms the presence of ART-R in Tanzania, although artemether-lumefantrine and artesunate-amodiaquine showed high efficacy. A context-specific response strategy and vigilance to detect the reduced efficacy of current antimalarial treatments and ART-R in other parts of the country are urgently needed. FUNDING: The Bill &amp; Melinda Gates Foundation and the US National Institutes of Health.</t>
  </si>
  <si>
    <t>#547</t>
  </si>
  <si>
    <t>s0013_msmt_tza_21</t>
  </si>
  <si>
    <t>10.1016/S2666-5247(24)00160-5</t>
  </si>
  <si>
    <t>Prevalence of mutations associated with artemisinin partial resistance and sulfadoxine-pyrimethamine resistance in 13 regions in Tanzania in 2021: a cross-sectional survey.</t>
  </si>
  <si>
    <t>Juliano JJ; Giesbrecht DJ; Simkin A; Fola AA; Lyimo BM; Pereus D; Bakari C; Madebe RA; Seth MD; Mandara CI; Popkin-Hall ZR; Moshi R; Mbwambo RB; Niaré K; MacInnis B; Francis F; Mbwambo D; Garimo I; Chacky F; Aaron S; Lusasi A; Molteni F; Njau RJA; Nhiga SL; Mohamed A; Bailey JA; Ishengoma DS</t>
  </si>
  <si>
    <t>BACKGROUND: The emergence of the artemisinin partial resistance (ART-R) mutation in the Plasmodium falciparum kelch13 gene (k13), Arg561His, in Rwanda and the regional presence of polymorphisms affecting sulfadoxine-pyrimethamine have raised concern in neighbouring Tanzania. The goal of this study was to assess the status of antimalarial resistance in Tanzania, with a focus on the border with Rwanda, to understand the distribution of the Arg561His mutation, partner drug resistance, and resistance to chemoprevention drugs. METHODS: In this cross-sectional survey, capillary dried blood spots were collected from malaria positive asymptomatic individuals in the community and symptomatic individuals in health facilities aged 6 months and older, in 13 regions of mainland Tanzania from Jan 31 to June 26, 2021. Exclusion criteria included residence of the areas other than the target sites, presenting to the health facility for care and treatment of conditions other than malaria, and not providing informed consent. Samples were assessed for antimalarial resistance polymorphisms and genetic relatedness using molecular inversion probes targeting P falciparum and short-read whole-genome sequencing. The primary outcome was the prevalence of molecular markers of antimalarial resistance at the region level, as well as at the district level in Kagera, a region in the northwest of the country at the border with Rwanda. FINDINGS: 6855 (88·1%) of 7782 capillary dried blood spot samples collected were successfully genotyped. The overall prevalence of k13 Arg561His in Kagera was 7·7% (90% CI 6·0-9·4; 50 of 649), with the highest prevalence in the districts near the Rwandan border (22·8% [31 of 136] in Karagwe, 14·4% [17 of 118]) in Kyerwa, and 1·4% [two of 144] in Ngara). k13 Arg561His was uncommon in the other regions. Haplotype analysis suggested that some of these parasites are related to isolates collected in Rwanda in 2015, supporting regional spread of Arg561His. However, a novel k13 Arg561His haplotype was observed, potentially indicating a second origin in the region. Other validated k13 resistance polymorphisms (one Arg622Ile and two Ala675Val isolates) were also identified. A region of prevalent dihydrofolate reductase Ile164Leu mutation, associated with sulfadoxine-pyrimethamine resistance, was also identified in Kagera (15·2% [12·6-17·8%]; 80 of 526). The mutant crt Lys76Thr mutation, associated with chloroquine and amodiaquine resistance, was uncommon, occurring only in 75 of 2861 genotyped isolates, whereases the wild-type mdr1 Asn86Tyr allele, associated with reduced sensitivity to lumefantrine, was found in 99·7% (3819 of 3830) of samples countrywide. INTERPRETATION: These findings show that the k13 Arg561His mutation is common in northwest Tanzania and that multiple emergences of ART-R, similar as to what was seen in southeast Asia, have occurred. Mutations associated with high levels of sulfadoxine-pyrimethamine resistance are common. These results raise concerns about the long-term efficacy of artemisinin and chemoprevention antimalarials in the region. Understanding how multiple emergences interact with drivers of regional spread is essential for combating ART-R in Africa. FUNDING: This study was funded by the Bill &amp; Melinda Gates Foundation and the National Institutes of Health.</t>
  </si>
  <si>
    <t>#639</t>
  </si>
  <si>
    <t>s0014_young_rwa_unpub</t>
  </si>
  <si>
    <t>10.1093/infdis/jiae475</t>
  </si>
  <si>
    <t>RWA</t>
  </si>
  <si>
    <t>High Frequency of Artemisinin Partial Resistance Mutations in the Great Lakes Region Revealed Through Rapid Pooled Deep Sequencing.</t>
  </si>
  <si>
    <t>Wernsman Young, Neeva; Gashema, Pierre; Giesbrecht, David; Munyaneza, Tharcisse; Maisha, Felicien; Mwebembezi, Fred; Budodo, Rule; Leonetti, Alec; Crudale, Rebecca; Iradukunda, Vincent; Jean Bosco, Ntwari; Kirby, Rebecca I.; Boyce, Ross M.; Mandara, Celine I.; Kanyankole, Grace K.; Ntaro, Moses; Okell, Lucy C.; Watson, Oliver J.; Mulogo, Edgar; Ishengoma, Deus S.; Hangi, Stan; Karema, Corine; Mazarati, Jean-Baptiste; Juliano, Jonathan J.; Bailey, Jeffrey A.</t>
  </si>
  <si>
    <t>BACKGROUND: In Africa, the first Plasmodium falciparum artemisinin partial resistance mutation was Kelch13 (K13) 561H, detected and validated at appreciable  frequency in Rwanda in 2014. Surveillance to better define the extent of the  emergence in Rwanda and neighboring countries is critical. METHODS: We used novel  liquid blood drop preservation with pooled sequencing to provide cost-effective  rapid assessment of resistance mutation frequencies at multiple collection sites  across Rwanda and neighboring regions in Uganda, Tanzania, and the Democratic  Republic of the Congo. Malaria-positive samples (N = 5465) from 39 health  facilities collected between May 2022 and March 2023 were sequenced in 199 pools.  RESULTS: In Rwanda, K13 561H and 675V were detected in 90% and 65% of sites, with  an average frequency of 19.0% (range, 0%-54.5%) and 5.0% (0%-35.5%),  respectively. In Tanzania, 561H had high frequency in multiple sites. 561H  appeared at 1.6% in Uganda. 561H was absent from the Democratic Republic of the  Congo, although 675V was seen at low frequency. Concerningly, candidate mutations  were observed: 441L, 449A, and 469F co-occurred with validated mutations,  suggesting that they are arising under the same pressures. Other markers for  decreased susceptibility to artemether-lumefantrine are common: P falciparum  multidrug resistance protein 1 N86 at 98.0% (range, 63.3%-100%) and 184F at 47.0%  (0%-94.3%) and P falciparum chloroquine resistance transporter 76T at 14.7%  (0%-58.6%). Additionally, sulfadoxine-pyrimethamine-associated mutations show  high frequencies. CONCLUSIONS: K13 mutations are rapidly expanding in the region,  further endangering control efforts with the potential of engendering partner  drug resistance.</t>
  </si>
  <si>
    <t>#536</t>
  </si>
  <si>
    <t>s0016_connelly_2024_elife</t>
  </si>
  <si>
    <t>10.7554/eLife.90173</t>
  </si>
  <si>
    <t>Strong isolation by distance and evidence of population microstructure reflect ongoing Plasmodium falciparum transmission in Zanzibar.</t>
  </si>
  <si>
    <t>Connelly SV; Brazeau NF; Msellem M; Ngasala BE; Aydemir O; Goel V; Niaré K; Giesbrecht DJ; Popkin-Hall ZR; Hennelly C; Park Z; Moormann AM; Ong'echa JM; Verity R; Mohammed S; Shija SJ; Mhamilawa LE; Morris U; Mårtensson A; Lin JT; Björkman A; Juliano JJ; Bailey JA</t>
  </si>
  <si>
    <t>BACKGROUND: The Zanzibar archipelago of Tanzania has become a low-transmission area for Plasmodium falciparum. Despite being considered an area of pre-elimination for years, achieving elimination has been difficult, likely due to a combination of imported infections from mainland Tanzania and continued local transmission. METHODS: To shed light on these sources of transmission, we applied highly multiplexed genotyping utilizing molecular inversion probes to characterize the genetic relatedness of 282 P. falciparum isolates collected across Zanzibar and in Bagamoyo district on the coastal mainland from 2016 to 2018. RESULTS: Overall, parasite populations on the coastal mainland and Zanzibar archipelago remain highly related. However, parasite isolates from Zanzibar exhibit population microstructure due to the rapid decay of parasite relatedness over very short distances. This, along with highly related pairs within shehias, suggests ongoing low-level local transmission. We also identified highly related parasites across shehias that reflect human mobility on the main island of Unguja and identified a cluster of highly related parasites, suggestive of an outbreak, in the Micheweni district on Pemba island. Parasites in asymptomatic infections demonstrated higher complexity of infection than those in symptomatic infections, but have similar core genomes. CONCLUSIONS: Our data support importation as a main source of genetic diversity and contribution to the parasite population in Zanzibar, but they also show local outbreak clusters where targeted interventions are essential to block local transmission. These results highlight the need for preventive measures against imported malaria and enhanced control measures in areas that remain receptive to malaria reemergence due to susceptible hosts and competent vectors. FUNDING: This research was funded by the National Institutes of Health, grants R01AI121558, R01AI137395, R01AI155730, F30AI143172, and K24AI134990. Funding was also contributed from the Swedish Research Council, Erling-Persson Family Foundation, and the Yang Fund. RV acknowledges funding from the MRC Centre for Global Infectious Disease Analysis (reference MR/R015600/1), jointly funded by the UK Medical Research Council (MRC) and the UK Foreign, Commonwealth &amp; Development Office (FCDO), under the MRC/FCDO Concordat agreement and is also part of the EDCTP2 program supported by the European Union. RV also acknowledges funding by Community Jameel.</t>
  </si>
  <si>
    <t>Elife</t>
  </si>
  <si>
    <t>#458</t>
  </si>
  <si>
    <t>s0019_conrad</t>
  </si>
  <si>
    <t>10.1056/NEJMoa2211803</t>
  </si>
  <si>
    <t>UGA</t>
  </si>
  <si>
    <t>Evolution of Partial Resistance to Artemisinins in Malaria Parasites in Uganda.</t>
  </si>
  <si>
    <t>Conrad MD; Asua V; Garg S; Giesbrecht D; Niaré K; Smith S; Namuganga JF; Katairo T; Legac J; Crudale RM; Tumwebaze PK; Nsobya SL; Cooper RA; Kamya MR; Dorsey G; Bailey JA; Rosenthal PJ</t>
  </si>
  <si>
    <t>BACKGROUND: Partial resistance of Plasmodium falciparum to the artemisinin component of artemisinin-based combination therapies, the most important malaria drugs, emerged in Southeast Asia and now threatens East Africa. Partial resistance, which manifests as delayed clearance after therapy, is mediated principally by mutations in the kelch protein K13 (PfK13). Limited longitudinal data are available on the emergence and spread of artemisinin resistance in Africa. METHODS: We performed annual surveillance among patients who presented with uncomplicated malaria at 10 to 16 sites across Uganda from 2016 through 2022. We sequenced the gene encoding kelch 13 (pfk13) and analyzed relatedness using molecular methods. We assessed malaria metrics longitudinally in eight Ugandan districts from 2014 through 2021. RESULTS: By 2021-2022, the prevalence of parasites with validated or candidate resistance markers reached more than 20% in 11 of the 16 districts where surveillance was conducted. The PfK13 469Y and 675V mutations were seen in far northern Uganda in 2016-2017 and increased and spread thereafter, reaching a combined prevalence of 10 to 54% across much of northern Uganda, with spread to other regions. The 469F mutation reached a prevalence of 38 to 40% in one district in southwestern Uganda in 2021-2022. The 561H mutation, previously described in Rwanda, was first seen in southwestern Uganda in 2021, reaching a prevalence of 23% by 2022. The 441L mutation reached a prevalence of 12 to 23% in three districts in western Uganda in 2022. Genetic analysis indicated local emergence of mutant parasites independent of those in Southeast Asia. The emergence of resistance was observed predominantly in areas where effective malaria control had been discontinued or transmission was unstable. CONCLUSIONS: Data from Uganda showed the emergence of partial resistance to artemisinins in multiple geographic locations, with increasing prevalence and regional spread over time. (Funded by the National Institutes of Health.).</t>
  </si>
  <si>
    <t>#497</t>
  </si>
  <si>
    <t>s0020_some_2024</t>
  </si>
  <si>
    <t>10.1128/aac.01534-23</t>
  </si>
  <si>
    <t>BF</t>
  </si>
  <si>
    <t>Ex vivo drug susceptibility and resistance mediating genetic polymorphisms of Plasmodium falciparum in Bobo-Dioulasso, Burkina Faso.</t>
  </si>
  <si>
    <t>Somé AF; Conrad MD; Kabré Z; Fofana A; Yerbanga RS; Bazié T; Neya C; Somé M; Kagambega TJ; Legac J; Garg S; Bailey JA; Ouédraogo J-B; Rosenthal PJ; Cooper RA</t>
  </si>
  <si>
    <t>Malaria remains a leading cause of morbidity and mortality in Burkina Faso, which utilizes artemether-lumefantrine as the principal therapy to treat uncomplicated malaria and seasonal malaria chemoprevention with monthly sulfadoxine-pyrimethamine plus amodiaquine in children during the transmission season. Monitoring the activities of available antimalarial drugs is a high priority. We assessed the ex vivo susceptibility of Plasmodium falciparum to 11 drugs in isolates from patients presenting with uncomplicated malaria in Bobo-Dioulasso in 2021 and 2022. IC(50) values were derived using a standard 72 h growth inhibition assay. Parasite DNA was sequenced to characterize known drug resistance-mediating polymorphisms. Isolates were generally susceptible, with IC(50) values in the low-nM range, to chloroquine (median IC(50)10 nM, IQR 7.9-24), monodesethylamodiaquine (22, 14-46) piperaquine (6.1, 3.6-9.2), pyronaridine (3.0, 1.3-5.5), quinine (50, 30-75), mefloquine (7.1, 3.7-10), lumefantrine (7.1, 4.5-12), dihydroartemisinin (3.7, 2.2-5.5), and atovaquone (0.2, 0.1-0.3) and mostly resistant to cycloguanil (850, 543-1,290) and pyrimethamine (33,200, 18,400-54,200), although a small number of outliers were seen. Considering genetic markers of resistance to aminoquinolines, most samples had wild-type PfCRT K76T (87%) and PfMDR1 N86Y (95%) sequences. For markers of resistance to antifolates, established PfDHFR and PfDHPS mutations were highly prevalent, the PfDHPS A613S mutation was seen in 19% of samples, and key markers of high-level resistance (PfDHFR I164L; PfDHPS K540E) were absent or rare (A581G). Mutations in the PfK13 propeller domain known to mediate artemisinin partial resistance were not detected. Overall, our results suggest excellent susceptibilities to drugs now used to treat malaria and moderate, but stable, resistance to antifolates used to prevent malaria.</t>
  </si>
  <si>
    <t>#464</t>
  </si>
  <si>
    <t>s0022_molinadelafuente_2023</t>
  </si>
  <si>
    <t>10.4269/ajtmh.23-0382</t>
  </si>
  <si>
    <t>SSD</t>
  </si>
  <si>
    <t>Screening for K13-Propeller Mutations Associated with Artemisinin Resistance in Plasmodium falciparum in Yambio County (Western Equatoria State, South Sudan).</t>
  </si>
  <si>
    <t>Molina-de la Fuente I; Sagrado Benito MJ; Ousley J; Gisbert FB; García L; González V; Benito A; Chol BT; Julla A; Bakri A; Nanclares C; Berzosa P</t>
  </si>
  <si>
    <t>Artemisinin-combined treatments are the recommended first-line treatment of Plasmodium falciparum malaria, but they are being threatened by emerging artemisinin resistance. Mutations in pfk13 are the principal molecular marker for artemisinin resistance. This study characterizes the presence of mutations in pfk13 in P. falciparum in Western Equatoria State, South Sudan. We analyzed 468 samples from patients with symptomatic malaria and found 15 mutations (8 nonsynonymous and 7 synonymous). Each mutation appeared only once, and none were validated or candidate markers of artemisinin resistance. However, some mutations were in the same or following position of validated and candidate resistance markers, suggesting instability of the gene that could lead to resistance. The R561L nonsynonymous mutation was found in the same position as the R561H validated mutation. Moreover, the A578S mutation, which is widespread in Africa, was also reported in this study. We found a high diversity of other pfk13 mutations in low frequency. Therefore, routine molecular surveillance of resistance markers is highly recommended to promptly detect the emergence of resistance-related mutations and to limit their spread.</t>
  </si>
  <si>
    <t>#546</t>
  </si>
  <si>
    <t>s0023_fola_2024_zambiacmed</t>
  </si>
  <si>
    <t>10.1101/2024.08.05.24311512</t>
  </si>
  <si>
    <t>ZMB</t>
  </si>
  <si>
    <t>National genomic profiling of Plasmodium falciparum antimalarial resistance in Zambian children participating in the 2018 Malaria Indicator Survey.</t>
  </si>
  <si>
    <t>Fola AA; Ciubotariu II; Dorman J; Mwenda MC; Mambwe B; Mulube C; Kasaro R; Hawela MB; Hamainza B; Miller JM; Bailey JA; Moss WJ; Bridges DJ; Carpi G</t>
  </si>
  <si>
    <t>The emergence of antimalarial drug resistance is a major threat to malaria control and elimination. Using whole genome sequencing of 282 P. falciparum samples collected during the 2018 Zambia National Malaria Indicator Survey, we determined the prevalence and spatial distribution of known and candidate antimalarial drug resistance mutations. High levels of genotypic resistance were found across Zambia to pyrimethamine, with over 94% (n=266) of samples having the Pfdhfr triple mutant (N51I, C59R, and S108N), and sulfadoxine, with over 84% (n=238) having the Pfdhps double mutant (A437G and K540E). In northern Zambia, 5.3% (n=15) of samples also harbored the Pfdhps A581G mutation. Although 29 mutations were identified in Pfkelch13, these mutations were present at low frequency (&lt;2.5%), and only three were WHO-validated artemisinin partial resistance mutations: P441L (n=1, 0.35%), V568M (n=2, 0.7%) and R622T (n=1, 0.35%). Notably, 91 (32%) of samples carried the E431K mutation in the Pfatpase6 gene, which is associated with artemisinin resistance. No specimens carried any known mutations associated with chloroquine resistance in the Pfcrt gene (codons 72-76). P. falciparum strains circulating in Zambia were highly resistant to sulfadoxine and pyrimethamine but remained susceptible to chloroquine and artemisinin. Despite this encouraging finding, early genetic signs of developing artemisinin resistance highlight the urgent need for continued vigilance and expanded routine genomic surveillance to monitor these changes.</t>
  </si>
  <si>
    <t>#451</t>
  </si>
  <si>
    <t>s0024_fola_2023_zambiamalj</t>
  </si>
  <si>
    <t>10.1186/s12936-023-04637-9</t>
  </si>
  <si>
    <t>Temporal and spatial analysis of Plasmodium falciparum genomics reveals patterns of parasite connectivity in a low-transmission district in Southern Province, Zambia.</t>
  </si>
  <si>
    <t>Fola AA; Moser KA; Aydemir O; Hennelly C; Kobayashi T; Shields T; Hamapumbu H; Musonda M; Katowa B; Matoba J; Stevenson JC; Norris DE; Thuma PE; Wesolowski A; Moss WJ; Bailey JA; Juliano JJ</t>
  </si>
  <si>
    <t>BACKGROUND: Understanding temporal and spatial dynamics of malaria transmission will help to inform effective interventions and strategies in regions approaching elimination. Parasite genomics are increasingly used to monitor epidemiologic trends, including assessing residual transmission across seasons and importation of malaria into these regions. METHODS: In a low and seasonal transmission setting of southern Zambia, a total of 441 Plasmodium falciparum samples collected from 8 neighbouring health centres between 2012 and 2018 were genotyped using molecular inversion probes (MIPs n = 1793) targeting a total of 1832 neutral and geographically informative SNPs distributed across the parasite genome. After filtering for quality and missingness, 302 samples and 1410 SNPs were retained and used for downstream population genomic analyses. RESULTS: The analyses revealed most (67%, n = 202) infections harboured one clone (monogenomic) with some variation at local level suggesting low, but heterogenous malaria transmission. Relatedness identity-by-descent (IBD) analysis revealed variable distribution of IBD segments across the genome and 6% of pairs were highly-related (IBD ≥ 0.25). Some of the highly-related parasite populations persisted across multiple seasons, suggesting that persistence of malaria in this low-transmission region is fueled by parasites "seeding" across the dry season. For recent years, clusters of clonal parasites were identified that were dissimilar to the general parasite population, suggesting parasite populations were increasingly fragmented at small spatial scales due to intensified control efforts. Clustering analysis using PCA and t-SNE showed a lack of substantial parasite population structure. CONCLUSION: Leveraging both genomic and epidemiological data provided comprehensive picture of fluctuations in parasite populations in this pre-elimination setting of southern Zambia over 7 years.</t>
  </si>
  <si>
    <t>#544</t>
  </si>
  <si>
    <t>s0025_ogwang_aac</t>
  </si>
  <si>
    <t>10.1128/aac.01576-23</t>
  </si>
  <si>
    <t>UGA, north</t>
  </si>
  <si>
    <t>A retrospective analysis of P. falciparum drug resistance markers detects an early (2016/17) high prevalence of the k13 C469Y mutation in asymptomatic infections in Northern Uganda.</t>
  </si>
  <si>
    <t>Ogwang R; Osoti V; Wamae K; Ndwiga L; Muteru K; Ningwa A; Tuju J; Kinyanjui S; Osier F; Marsh K; Bejon P; Idro R; Ochola-Oyier LI</t>
  </si>
  <si>
    <t>The emergence of drug-resistant Plasmodium falciparum parasites in sub-Saharan Africa will substantially challenge malaria control. Here, we evaluated the frequency of common drug resistance markers among adolescents from Northern Uganda with asymptomatic infections. We used an established amplicon deep sequencing strategy to screen dried blood spot samples collected from 2016 to 2017 during a reported malaria epidemic within the districts of Kitgum and Pader in Northern Uganda. We screened single-nucleotide polymorphisms within: kelch13 (Pfk13), dihydropteroate synthase (Pfdhps), multidrug resistance-1 (Pfmdr1), dihydrofolate reductase (Pfdhfr), and apical membrane antigen (Pfama1) genes. Within the study population, the median age was 15 years (14.3-15.0, 95% CI), and 54.9% (78/142) were Plasmodium positive by 18S rRNA qPCR, which were subsequently targeted for sequencing analysis. We observed a high frequency of resistance markers particularly for sulfadoxine-pyrimethamine (SP), with no wild-type-only parasites observed for Pfdhfr (N51I, C59R, and S108N) and Pfdhps (A437G and K540E) mutations. Within Pfmdr1, mixed infections were common for NF/NY (98.5%). While for artemisinin resistance, in kelch13, there was a high frequency of C469Y (34%). Using the pattern for Pfama1, we found a high level of polygenomic infections with all individuals presenting with complexity of infection greater than 2 with a median of 6.9. The high frequency of the quintuple SP drug-resistant parasites and the C469Y artemisinin resistance-associated mutation in asymptomatic individuals suggests an earlier high prevalence than previously reported from symptomatic malaria surveillance studies (in 2016/2017). Our data demonstrate the urgency for routine genomic surveillance programs throughout Africa and the value of deep sequencing.</t>
  </si>
  <si>
    <t>#234</t>
  </si>
  <si>
    <t>s0026_verity</t>
  </si>
  <si>
    <t>10.1038/s41467-020-15779-8</t>
  </si>
  <si>
    <t>DRC</t>
  </si>
  <si>
    <t>The impact of antimalarial resistance on the genetic structure of Plasmodium falciparum in the DRC.</t>
  </si>
  <si>
    <t>Verity R; Aydemir O; Brazeau NF; Watson OJ; Hathaway NJ; Mwandagalirwa MK; Marsh PW; Thwai K; Fulton T; Denton M; Morgan AP; Parr JB; Tumwebaze PK; Conrad M; Rosenthal PJ; Ishengoma DS; Ngondi J; Gutman J; Mulenga M; Norris DE; Moss WJ; Mensah BA; Myers-Hansen JL; Ghansah A; Tshefu AK; Ghani AC; Meshnick SR; Bailey JA; Juliano JJ</t>
  </si>
  <si>
    <t>The Democratic Republic of the Congo (DRC) harbors 11% of global malaria cases, yet little is known about the spatial and genetic structure of the parasite population in that country. We sequence 2537 Plasmodium falciparum infections, including a nationally representative population sample from DRC and samples from surrounding countries, using molecular inversion probes - a high-throughput genotyping tool. We identify an east-west divide in haplotypes known to confer resistance to chloroquine and sulfadoxine-pyrimethamine. Furthermore, we identify highly related parasites over large geographic distances, indicative of gene flow and migration. Our results are consistent with a background of isolation by distance combined with the effects of selection for antimalarial drug resistance. This study provides a high-resolution view of parasite genetic structure across a large country in Africa and provides a baseline to study how implementation programs may impact parasite populations.</t>
  </si>
  <si>
    <t>#433</t>
  </si>
  <si>
    <t>s0035_kirby</t>
  </si>
  <si>
    <t>10.1093/ofid/ofad149</t>
  </si>
  <si>
    <t>Examining the Early Distribution of the Artemisinin-Resistant Plasmodium falciparum kelch13 R561H Mutation in Areas of Higher Transmission in Rwanda.</t>
  </si>
  <si>
    <t>Kirby R; Giesbrecht D; Karema C; Watson O; Lewis S; Munyaneza T; Butera JD; Juliano JJ; Bailey JA; Mazarati JB</t>
  </si>
  <si>
    <t>BACKGROUND: Artemisinin resistance mutations in Plasmodium falciparum kelch13 (Pfk13) have begun to emerge in Africa, with Pfk13-R561H being the first reported in Rwanda in 2014, but limited sampling left questions about its early distribution and origin. METHODS: We genotyped P. falciparum positive dried blood spot (DBS) samples from a nationally representative 2014-2015 Rwanda Demographic Health Surveys (DHS) HIV study. DBS were subsampled from DHS sampling clusters with &gt;15% P. falciparum prevalence, as determined by rapid testing or microscopy done during the DHS study (n clusters = 67, n samples = 1873). RESULTS: We detected 476 parasitemias among 1873 residual blood spots from a 2014-2015 Rwanda Demographic Health Survey. We sequenced 351 samples: 341/351 were wild-type (97.03% weighted), and 4 samples (1.34% weighted) harbored R561H that were significantly spatially clustered. Other nonsynonymous mutations found were V555A (3), C532W (1), and G533A (1). CONCLUSIONS: Our study better defines the early distribution of R561H in Rwanda. Previous studies only observed the mutation in Masaka as of 2014, but our study indicates its presence in higher-transmission regions in the southeast of the country at that time.</t>
  </si>
  <si>
    <t>Open Forum Infect Dis</t>
  </si>
  <si>
    <t>#525</t>
  </si>
  <si>
    <t>s0036_schreidah</t>
  </si>
  <si>
    <t>10.1186/s12936-024-04981-4</t>
  </si>
  <si>
    <t>Expansion of artemisinin partial resistance mutations and lack of histidine rich protein-2 and -3 deletions in Plasmodium falciparum infections from Rukara, Rwanda.</t>
  </si>
  <si>
    <t>Schreidah C; Giesbrecht D; Gashema P; Young NW; Munyaneza T; Muvunyi CM; Thwai K; Mazarati JB; Bailey JA; Juliano JJ; Karema C</t>
  </si>
  <si>
    <t>BACKGROUND: Emerging artemisinin partial resistance and diagnostic resistance are a threat to malaria control in Africa. Plasmodium falciparum kelch13 (k13) propeller-domain mutations that confer artemisinin partial resistance have emerged in Africa. k13-561H was initially described at a frequency of 7.4% from Masaka in 2014-2015, but not present in nearby Rukara. By 2018, 19.6% of isolates in Masaka and 22% of isolates in Rukara contained the mutation. Longitudinal monitoring is essential to inform control efforts. In Rukara, an assessment was conducted to evaluate recent k13-561H prevalence changes, as well as other key mutations. Prevalence of hrp2/3 deletions was also assessed. METHODS: Samples collected in Rukara in 2021 were genotyped for key artemisinin and partner drug resistance mutations using molecular inversion probe assays and for hrp2/3 deletions using qPCR. RESULTS: Clinically validated k13 artemisinin partial resistance mutations continue to increase in prevalence with the overall level of mutant infections reaching 32% in Rwanda. The increase appears to be due to the rapid emergence of k13-675V (6.4%, 6/94 infections), previously not observed, rather than continued expansion of 561H (23.5% 20/85). Mutations to partner drugs and other anti-malarials were variable, with high levels of multidrug resistance 1 (mdr1) N86 (95.5%) associated with lumefantrine decreased susceptibility and dihydrofolate reductase (dhfr) 164L (24.7%) associated with a high level of antifolate resistance, but low levels of amodiaquine resistance polymorphisms with chloroquine resistance transporter (crt) 76T: at 6.1% prevalence. No hrp2 or hrp3 gene deletions associated with diagnostic resistance were found. CONCLUSIONS: Increasing prevalence of artemisinin partial resistance due to k13-561H and the rapid expansion of k13-675V is concerning for the longevity of artemisinin effectiveness in the region. False negative RDT results do not appear to be an issue with no hrp2 or hpr3 deletions detected. Continued molecular surveillance in this region and surrounding areas is needed to follow artemisinin partial resistance and provide early detection of partner drug resistance, which would likely compromise control and increase malaria morbidity and mortality in East Africa.</t>
  </si>
  <si>
    <t>#480</t>
  </si>
  <si>
    <t>s0042_mesiakahunu_2024</t>
  </si>
  <si>
    <t>10.1016/j.ijid.2023.11.026</t>
  </si>
  <si>
    <t>Identification of the PfK13 mutations R561H and P441L in the Democratic Republic of Congo.</t>
  </si>
  <si>
    <t>Mesia Kahunu G; Wellmann Thomsen S; Wellmann Thomsen L; Muhindo Mavoko H; Mitashi Mulopo P; Filtenborg Hocke E; Mandoko Nkoli P; Baraka V; Minja DTR; Mousa A; Roper C; Mbongi Moke D; Mumba Ngoyi D; Mukomena Sompwe E; Muyembe Tanfum JJ; Hansson H; Alifrangis M</t>
  </si>
  <si>
    <t>OBJECTIVES: Partial artemisinin resistance, mediated by Plasmodium falciparum K13 (PfK13) mutations, has been confirmed in certain areas of East Africa that are historically associated with high-level antimalarial resistance. The Democratic Republic of Congo (DRC) borders these areas in the East. This study aimed to determine the prevalence of resistance markers in six National Malaria Control Program surveillance sites; Boende, Kabondo, Kapolowe, Kimpese, Mikalayi, and Rutshuru. METHODS: The single nucleotide polymorphisms (SNPs) in P. falciparum genes PfK13, Pfdhfr, Pfdhps, Pfmdr1, and Pfcrt were assessed using targeted next-generation sequencing of isolates collected at enrollment in therapeutic efficacy studies. RESULTS: PfK13 SNPs were detected in two samples: in Kabondo (R561H) and in Rutshuru (P441L), both areas near Uganda and Rwanda. The Pfdhps ISGEGA haplotype, associated with reduced sulfadoxine-pyrimethamine chemoprevention efficacy, ranged from 0.8% in Mikalayi (central DRC) to 42.2% in Rutshuru (East DRC). CONCLUSIONS: R561H and P441L observed in eastern DRC are a concern, as they are associated with delayed artemisinin-based combination therapies-clearance and candidate marker of resistance, respectively. This is consistent with previous observations of shared drug resistance profiles in parasites of that region with bordering areas of Rwanda and Uganda. The likely circulation of parasites has important implications for the ongoing surveillance of partial artemisinin-resistant P. falciparum and for future efforts to mitigate its dispersal.</t>
  </si>
  <si>
    <t>#496</t>
  </si>
  <si>
    <t>s0043_vanloon_2023</t>
  </si>
  <si>
    <t>10.4269/ajtmh.23-0740</t>
  </si>
  <si>
    <t>Detection of Artemisinin Resistance Marker Kelch-13 469Y in Plasmodium falciparum, South Kivu, Democratic Republic of the Congo, 2022.</t>
  </si>
  <si>
    <t>van Loon W; Bisimwa BC; Byela V; Kirby R; Bugeme PM; Balagizi A; Lupande D; Malembaka EB; Mockenhaupt FP; Bahizire E</t>
  </si>
  <si>
    <t>Partial artemisinin resistance has emerged in East Africa, posing a threat to malaria control across the continent. The Democratic Republic of the Congo carries one of the heaviest malaria burdens globally, and the South Kivu province directly borders current artemisinin resistance hot spots, but indications of such resistance have not been observed so far. We assessed molecular markers of antimalarial drug resistance in 256 Plasmodium falciparum isolates collected in 2022 in South Kivu, Democratic Republic of the Congo. One isolate carried the P. falciparum Kelch-13 469Y variant, a marker associated with partial artemisinin resistance and decreased lumefantrine susceptibility in Uganda. In addition, the multidrug resistance-1 mutation pattern suggested increased lumefantrine tolerance.</t>
  </si>
  <si>
    <t>#503</t>
  </si>
  <si>
    <t>s0045_bakari_2024</t>
  </si>
  <si>
    <t>10.1186/s12936-024-04896-0</t>
  </si>
  <si>
    <t>Trends of Plasmodium falciparum molecular markers associated with resistance to artemisinins and reduced susceptibility to lumefantrine in Mainland Tanzania from 2016 to 2021.</t>
  </si>
  <si>
    <t>Bakari C; Mandara CI; Madebe RA; Seth MD; Ngasala B; Kamugisha E; Ahmed M; Francis F; Bushukatale S; Chiduo M; Makene T; Kabanywanyi AM; Mahende MK; Kavishe RA; Muro F; Mkude S; Mandike R; Molteni F; Chacky F; Bishanga DR; Njau RJA; Warsame M; Kabula B; Nyinondi SS; Lucchi NW; Talundzic E; Venkatesan M; Moriarty LF; Serbantez N; Kitojo C; Reaves EJ; Halsey ES; Mohamed A; Udhayakumar V; Ishengoma DS</t>
  </si>
  <si>
    <t>BACKGROUND: Therapeutic efficacy studies (TESs) and detection of molecular markers of drug resistance are recommended by the World Health Organization (WHO) to monitor the efficacy of artemisinin-based combination therapy (ACT). This study assessed the trends of molecular markers of artemisinin resistance and/or reduced susceptibility to lumefantrine using samples collected in TES conducted in Mainland Tanzania from 2016 to 2021. METHODS: A total of 2,015 samples were collected during TES of artemether-lumefantrine at eight sentinel sites (in Kigoma, Mbeya, Morogoro, Mtwara, Mwanza, Pwani, Tabora, and Tanga regions) between 2016 and 2021. Photo-induced electron transfer polymerase chain reaction (PET-PCR) was used to confirm presence of malaria parasites before capillary sequencing, which targeted two genes: Plasmodium falciparum kelch 13 propeller domain (k13) and P. falciparum multidrug resistance 1 (pfmdr1). RESULTS: Sequencing success was ≥ 87.8%, and 1,724/1,769 (97.5%) k13 wild-type samples were detected. Thirty-seven (2.1%) samples had synonymous mutations and only eight (0.4%) had non-synonymous mutations in the k13 gene; seven of these were not validated by the WHO as molecular markers of resistance. One sample from Morogoro in 2020 had a k13 R622I mutation, which is a validated marker of artemisinin partial resistance. For pfmdr1, all except two samples carried N86 (wild-type), while mutations at Y184F increased from 33.9% in 2016 to about 60.5% in 2021, and only four samples (0.2%) had D1246Y mutations. pfmdr1 haplotypes were reported in 1,711 samples, with 985 (57.6%) NYD, 720 (42.1%) NFD, and six (0.4%) carrying minor haplotypes (three with NYY, 0.2%; YFD in two, 0.1%; and NFY in one sample, 0.1%). Between 2016 and 2021, NYD decreased from 66.1% to 45.2%, while NFD increased from 38.5% to 54.7%. CONCLUSION: This is the first report of the R622I (k13 validated mutation) in Tanzania. N86 and D1246 were nearly fixed, while increases in Y184F mutations and NFD haplotype were observed between 2016 and 2021. Despite the reports of artemisinin partial resistance in Rwanda and Uganda, this study did not report any other validated mutations in these study sites in Tanzania apart from R622I suggesting that intensified surveillance is urgently needed to monitor trends of drug resistance markers and their impact on the performance of ACT.</t>
  </si>
  <si>
    <t>#485</t>
  </si>
  <si>
    <t>s0048_vanloon_2024</t>
  </si>
  <si>
    <t>10.1128/aac.01299-23</t>
  </si>
  <si>
    <t>Escalating Plasmodium falciparum K13 marker prevalence indicative of artemisinin resistance in southern Rwanda.</t>
  </si>
  <si>
    <t>van Loon W; Schallenberg E; Igiraneza C; Habarugira F; Mbarushimana D; Nshimiyimana F; Ngarambe C; Ntihumbya JB; Ndoli JM; Mockenhaupt FP</t>
  </si>
  <si>
    <t>In 2023, we updated data collected since 2010 on Plasmodium falciparum K13 and MDR1 drug resistance markers in Huye district, southern Rwanda. Artemisinin resistance-associated PfK13 markers occurred in 17.5% of 212 malaria patients (561H, 9.0%; 675V, 5.7%; and 469F, 2.8%), nearly double the frequency from 2019. PfMDR1 N86, linked with lumefantrine tolerance, was close to fixation at 98%. In southern Rwanda, markers signaling resistance to artemisinin and lumefantrine are increasing, albeit at a relatively slow rate.</t>
  </si>
  <si>
    <t>#10</t>
  </si>
  <si>
    <t>s0049_plucinski</t>
  </si>
  <si>
    <t>10.1128/AAC.04181-14</t>
  </si>
  <si>
    <t>AGO</t>
  </si>
  <si>
    <t>Efficacy of artemether-lumefantrine and dihydroartemisinin-piperaquine for treatment of uncomplicated malaria in children in Zaire and Uíge Provinces, angola.</t>
  </si>
  <si>
    <t>Plucinski MM; Talundzic E; Morton L; Dimbu PR; Macaia AP; Fortes F; Goldman I; Lucchi N; Stennies G; MacArthur JR; Udhayakumar V</t>
  </si>
  <si>
    <t>The development of resistance to antimalarials is a major challenge for global malaria control. Artemisinin-based combination therapies, the newest class of antimalarials, are used worldwide but there have been reports of artemisinin resistance in Southeast Asia. In February through May 2013, we conducted open-label, nonrandomized therapeutic efficacy studies of artemether-lumefantrine (AL) and dihydroartemisinin-piperaquine (DP) in Zaire and Uíge Provinces in northern Angola. The parasitological and clinical responses to treatment in children with uncomplicated Plasmodium falciparum monoinfection were measured over 28 days, and the main outcome was a PCR-corrected adequate clinical and parasitological response (ACPR) proportion on day 28. Parasites from treatment failures were analyzed for the presence of putative molecular markers of resistance to lumefantrine and artemisinins, including the recently identified mutations in the K13 propeller gene. In the 320 children finishing the study, 25 treatment failures were observed: 24 in the AL arms and 1 in the DP arm. The PCR-corrected ACPR proportions on day 28 for AL were 88% (95% confidence interval [CI], 78 to 95%) in Zaire and 97% (91 to 100%) in Uíge. For DP, the proportions were 100% (95 to 100%) in Zaire, and 100% (96 to 100%) in Uíge. None of the treatment failures had molecular evidence of artemisinin resistance. In contrast, 91% of AL late-treatment failures had markers associated with lumefantrine resistance on the day of failure. The absence of molecular markers for artemisinin resistance and the observed efficacies of both drug combinations suggest no evidence of artemisinin resistance in northern Angola. There is evidence of increased lumefantrine resistance in Zaire, which should continue to be monitored.</t>
  </si>
  <si>
    <t>#145</t>
  </si>
  <si>
    <t>s0050_davlantes_2018</t>
  </si>
  <si>
    <t>10.1186/s12936-018-2290-9</t>
  </si>
  <si>
    <t>Efficacy and safety of artemether-lumefantrine, artesunate-amodiaquine, and dihydroartemisinin-piperaquine for the treatment of uncomplicated Plasmodium falciparum malaria in three provinces in Angola, 2017.</t>
  </si>
  <si>
    <t>Davlantes E; Dimbu PR; Ferreira CM; Florinda Joao M; Pode D; Félix J; Sanhangala E; Andrade BN; Dos Santos Souza S; Talundzic E; Udhayakumar V; Owens C; Mbounga E; Wiesner L; Halsey ES; Martins JF; Fortes F; Plucinski MM</t>
  </si>
  <si>
    <t>BACKGROUND: The Angolan government recommends three artemisinin-based combinations for the treatment of uncomplicated Plasmodium falciparum malaria: artemether-lumefantrine (AL), artesunate-amodiaquine (ASAQ), and dihydroartemisinin-piperaquine (DP). Due to the threat of emerging anti-malarial drug resistance, it is important to periodically monitor the efficacy of artemisinin-based combination therapy (ACT). This study evaluated these medications' therapeutic efficacy in Benguela, Lunda Sul, and Zaire Provinces. METHODS: Enrollment occurred between March and July 2017. Study participants were children with P. falciparum monoinfection from each provincial capital. Participants received a 3-day course of a quality-assured artemisinin-based combination and were monitored for 28 (AL and ASAQ arms) or 42 days (DP arm). Each ACT was assessed in two provinces. The primary study endpoints were: (1) follow-up without complications and (2) failure to respond to treatment or development of recurrent P. falciparum infection. Parasites from each patient experiencing recurrent infection were genotyped to differentiate new infection from recrudescence of persistent parasitaemia. These parasites were also analysed for molecular markers associated with ACT resistance. RESULTS: Of 608 children enrolled in the study, 540 (89%) reached a primary study endpoint. Parasitaemia was cleared within 3 days of medication administration in all participants, and no early treatment failures were observed. After exclusion of reinfections, the corrected efficacy of AL was 96% (91-100%, 95% confidence interval) in Zaire and 97% (93-100%) in Lunda Sul. The corrected efficacy of ASAQ was 100% (97-100%) in Benguela and 93% (88-99%) in Zaire. The corrected efficacy of DP was 100% (96-100%) in Benguela and 100% in Lunda Sul. No mutations associated with artemisinin resistance were identified in the pfk13 gene in the 38 cases of recurrent P. falciparum infection. All 33 treatment failures in the AL and ASAQ arms carried pfmdr1 or pfcrt mutations associated with lumefantrine and amodiaquine resistance, respectively, on day of failure. CONCLUSIONS: AL, ASAQ, and DP continue to be efficacious against P. falciparum malaria in these provinces of Angola. Rapid parasite clearance and the absence of genetic evidence of artemisinin resistance are consistent with full susceptibility to artemisinin derivatives. Periodic monitoring of in vivo drug efficacy remains a priority routine activity for Angola.</t>
  </si>
  <si>
    <t>#459</t>
  </si>
  <si>
    <t>s0053_issa_2023</t>
  </si>
  <si>
    <t>10.1186/s12936-023-04644-w</t>
  </si>
  <si>
    <t>TCD</t>
  </si>
  <si>
    <t>Therapeutic efficacy of artesunate-amodiaquine and artemether-lumefantrine for the treatment of uncomplicated falciparum malaria in Chad: clinical and genetic surveillance.</t>
  </si>
  <si>
    <t>Issa MS; Warsame M; Mahamat MHT; Saleh IDM; Boulotigam K; Djimrassengar H; Issa AH; Abdelkader O; Hassoumi M; Djimadoum M; Doderer-Lang C; Ndihiokubwayo JB; Rasmussen C; Menard D</t>
  </si>
  <si>
    <t>BACKGROUND: Artesunate-amodiaquine (AS-AQ) and artemether-lumefantrine (AL) are the currently recommended first-and second-line therapies for uncomplicated Plasmodium falciparum infections in Chad. This study assessed the efficacy of these artemisinin-based combinations, proportion of day 3 positive patients, proportions of molecular markers associated with P. falciparum resistance to anti-malarial drugs and variable performance of HRP2-based malaria rapid diagnostic tests (RDTs). METHODS: A single-arm prospective study assessing the efficacy of AS-AQ and AL at three sites (Doba, Kelo and Koyom) was conducted between November 2020 to January 2021. Febrile children aged 6 to 59 months with confirmed uncomplicated P. falciparum infection were enrolled sequentially first to AS-AQ and then AL at each site and followed up for 28 days. The primary endpoint was PCR-adjusted adequate clinical and parasitological response (ACPR). Samples collected on day 0 were analysed for mutations in pfkelch13, pfcrt, pfmdr-1, pfdhfr, pfdhps genes and deletions in pfhrp2/pfhrp3 genes. RESULTS: By the end of 28-day follow-up, per-protocol PCR corrected ACPR of 97.8% (CI 95% 88.2-100) in Kelo and 100% in Doba and Kayoma were observed among AL treated patients. For ASAQ, 100% ACPR was found in all sites. All, but one patient, did not have parasites detected on day 3. Out of the 215 day 0 samples, 96.7% showed pfkelch13 wild type allele. Seven isolates carried nonsynonymous mutations not known to be associated artemisinin partial resistance (ART-R). Most of samples had a pfcrt wild type allele (79% to 89%). The most prevalent pfmdr-1 allele detected was the single mutant 184F (51.2%). For pfdhfr and pfdhps mutations, the quintuple mutant allele N51I/C59R/S108N + G437A/540E responsible for SP treatment failures in adults and children was not detected. Single deletion in the pfhrp2 and pfhrp3 gene were detected in 10/215 (4.7%) and 2/215 (0.9%), respectively. Dual pfhrp2/pfhrp3 deletions, potentially threatening the efficacy of HRP2-based RDTs, were observed in 5/215 (2.3%) isolates. CONCLUSION: The results of this study confirm that AS-AQ and AL treatments are highly efficacious in study areas in Chad. The absence of known pfkelch13 mutations in the study sites and the high parasite clearance rate at day 3 suggest the absence of ART-R. The absence of pfdhfr/pfdhps quintuple or sextuple (quintuple + 581G) mutant supports the continued use of SP for IPTp during pregnancy. The presence of parasites with dual pfhrp2/pfhrp3 deletions, potentially threatening the efficacy of HRP2-based RDTs, warrants the continued surveillance. Trial registration ACTRN12622001476729.</t>
  </si>
  <si>
    <t>#523</t>
  </si>
  <si>
    <t>s0054_laminou_2024</t>
  </si>
  <si>
    <t>10.1186/s12936-024-04945-8</t>
  </si>
  <si>
    <t>NER</t>
  </si>
  <si>
    <t>Therapeutic efficacy and tolerability of artemether-lumefantrine for uncomplicated Plasmodium falciparum malaria in Niger, 2020.</t>
  </si>
  <si>
    <t>Laminou IM; Issa I; Adehossi E; Maman K; Jackou H; Coulibaly E; Tohon ZB; Ahmed J; Sanoussi E; Koko D</t>
  </si>
  <si>
    <t>BACKGROUND: Monitoring therapeutic efficacy is important to ensure the efficacy of artemisinin-based combination therapy (ACT) for malaria. The current first-line treatment for uncomplicated malaria recommended by the National Malaria Control Program in Niger is artemether-lumefantrine (AL). In 2020, an in vivo study was carried out to evaluate clinical and parasitological responses to AL as well as the molecular resistance to the drug in three sentinel sites: Agadez, Tessaoua and Gaya, in Niger. METHODS: A multi-center, single-arm trial was conducted according to the 28-day World Health Organization (WHO) 2009 therapeutic efficacy study protocol. Children between 6 months and 15 years with confirmed uncomplicated Plasmodium falciparum infection and 1000-200,000 asexual parasites/μL of blood were enrolled and followed up for 28 days. Uncorrected and PCR-corrected efficacy results at day 28 were calculated, and molecular correction was performed by genotyping the msp1, msp2, and glurp genes. The pfk13, pfdhfr, pfdhps, pfcrt and pfmdr genes were analyzed by PCR and Sanger sequencing. The Kaplan-Meier curve assessed parasite clearance. RESULTS: A total of 255 patients were enrolled in the study. The adequate clinical and parasitological response after PCR correction was 98.9% (95% CI 96.4-101.0%), 92.2% (85.0-98.5%) and 97.1% (93.1-101.0%) in Gaya, Tessaoua and Agadez, respectively. No adverse events were observed. Ten mutations (SNP) were found, including 7 synonyms (K248K, G690G, E691E, E612E, C469C, G496G, P718P) and 3 non-synonyms (N594K, R255K, V714S). Two mutations emerged: N594K and V714S. The R255K mutation detected in Southeast Asia was also detected. The pfdhpsK540E and pfdhfrI164L mutations associated with high levels of resistance are absent. There is a reversal of chloroquine resistance. CONCLUSION: The study findings indicate that AL is effective and well tolerated for the treatment of uncomplicated malaria in three sites in Niger. The emergence of a pfk13 mutation requires additional testing such as the Ring Stage Assay and CRISPR/Cas9 to confirm the role of these emerging mutations. Trial registration NCT05070520, October 7, 2021.</t>
  </si>
  <si>
    <t>#508</t>
  </si>
  <si>
    <t>s0055_dorkenoo_2024</t>
  </si>
  <si>
    <t>10.1186/s12936-024-04922-1</t>
  </si>
  <si>
    <t>TGO</t>
  </si>
  <si>
    <t>Efficacy of artemether-lumefantrine and dihydroartemisinin-piperaquine and prevalence of molecular markers of anti-malarial drug resistance in children in Togo in 2021.</t>
  </si>
  <si>
    <t>Dorkenoo AM; Warsame M; Ataba E; Hemou M; Yakpa K; Sossou E; Mitigmsagou M; Teou CD; Caspar E; Ma L; Djadou KE; Atcha-Oubou T; Rasmussen C; Menard D</t>
  </si>
  <si>
    <t>BACKGROUND: Artemether-lumefantrine (AL) and dihydroartemisinin-piperaquine (DP) are the currently recommended first- and second-line therapies for uncomplicated Plasmodium falciparum infections in Togo. This study assessed the efficacy of these combinations, the proportion of Day3-positive patients (D3 +), the proportion of molecular markers associated with P. falciparum resistance to anti-malarial drugs, and the variable performance of HRP2-based malaria rapid diagnostic tests (RDTs). METHODS: A single arm prospective study evaluating the efficacy of AL and DP was conducted at two sites (Kouvé and Anié) from September 2021 to January 2022. Eligible children were enrolled, randomly assigned to treatment at each site and followed up for 42 days after treatment initiation. The primary endpoint was polymerase chain reaction (PCR) adjusted adequate clinical and parasitological response (ACPR). At day 0, samples were analysed for mutations in the Pfkelch13, Pfcrt, Pfmdr-1, dhfr, dhps, and deletions in the hrp2/hrp3 genes. RESULTS: A total of 179 and 178 children were included in the AL and DP groups, respectively. After PCR correction, cure rates of patients treated with AL were 97.5% (91.4-99.7) at day 28 in Kouvé and 98.6% (92.4-100) in Anié, whereas 96.4% (CI 95%: 89.1-98.8) and 97.3% (CI 95%: 89.5-99.3) were observed at day 42 in Kouvé and Anié, respectively. The cure rates of patients treated with DP at day 42 were 98.9% (CI 95%: 92.1-99.8) in Kouvé and 100% in Anié. The proportion of patients with parasites on day 3 (D3 +) was 8.5% in AL and 2.6% in DP groups in Anié and 4.3% in AL and 2.1% DP groups in Kouvé. Of the 357 day 0 samples, 99.2% carried the Pfkelch13 wild-type allele. Two isolates carried nonsynonymous mutations not known to be associated with artemisinin partial resistance (ART-R) (A578S and A557S). Most samples carried the Pfcrt wild-type allele (97.2%). The most common Pfmdr-1 allele was the single mutant 184F (75.6%). Among dhfr/dhps mutations, the quintuple mutant haplotype N51I/C59R/S108N + 437G/540E, which is responsible for SP treatment failure in adults and children, was not detected. Single deletions in hrp2 and hrp3 genes were detected in 1/357 (0.3%) and 1/357 (0.3%), respectively. Dual hrp2/hrp3 deletions, which could affect the performances of HRP2-based RDTs, were not observed. CONCLUSION: The results of this study confirm that the AL and DP treatments are highly effective. The absence of the validated Pfkelch13 mutants in the study areas suggests the absence of ART -R, although a significant proportion of D3 + cases were found. The absence of dhfr/dhps quintuple or sextuple mutants (quintuple + 581G) supports the continued use of SP for IPTp during pregnancy and in combination with amodiaquine for seasonal malaria chemoprevention. TRIAL REGISTRATION: ACTRN12623000344695.</t>
  </si>
  <si>
    <t>#543</t>
  </si>
  <si>
    <t>s0059_osborne_2024</t>
  </si>
  <si>
    <t>10.1038/s41598-024-67623-4</t>
  </si>
  <si>
    <t>KEN</t>
  </si>
  <si>
    <t>Plasmodium falciparum population dynamics in East Africa and genomic surveillance along the Kenya-Uganda border.</t>
  </si>
  <si>
    <t>Osborne A; Mańko E; Waweru H; Kaneko A; Kita K; Campino S; Gitaka J; Clark TG</t>
  </si>
  <si>
    <t>East African countries accounted for ~ 10% of all malaria prevalence worldwide in 2022, with an estimated 23.8 million cases and &gt; 53,000 deaths. Despite recent increases in malaria incidence, high-resolution genome-wide analyses of Plasmodium parasite populations are sparse in Kenya, Tanzania, and Uganda. The Kenyan-Ugandan border region is a particular concern, with Uganda confirming the emergence and spread of artemisinin resistant P. falciparum parasites. To establish genomic surveillance along the Kenyan-Ugandan border and analyse P. falciparum population dynamics within East Africa, we generated whole-genome sequencing (WGS) data for 38 parasites from Bungoma, Western Kenya. These sequences were integrated into a genomic analysis of available East African isolate data (n = 599) and revealed parasite subpopulations with distinct genetic structure and diverse ancestral origins. Ancestral admixture analysis of these subpopulations alongside isolates from across Africa (n = 365) suggested potential independent ancestral populations from other major African populations. Within isolates from Western Kenya, the prevalence of biomarkers associated with chloroquine resistance (e.g. Pfcrt K76T) were significantly reduced compared to wider East African populations and a single isolate contained the PfK13 V568I variant, potentially linked to reduced susceptibility to artemisinin. Overall, our work provides baseline WGS data and analysis for future malaria genomic surveillance in the region.</t>
  </si>
  <si>
    <t>#518</t>
  </si>
  <si>
    <t>s0060_angwe_2024</t>
  </si>
  <si>
    <t>10.1101/2024.04.26.24306433</t>
  </si>
  <si>
    <t>Day 3 parasitemia and Plasmodium falciparum Kelch 13 mutations among uncomplicated malaria patients treated with artemether-lumefantrine in Adjumani district, Uganda.</t>
  </si>
  <si>
    <t>Angwe MK; Mwebaza N; Nsobya SL; Vudriko P; Dralabu S; Omali D; Tumwebaze MA; Ocan M</t>
  </si>
  <si>
    <t>Artemisinin resistance threatens malaria control and elimination efforts globally. Recent studies have reported the emergence of Plasmodium falciparum parasites tolerant to artemisinin agents in sub-Saharan Africa, including Uganda. The current study assessed the day 3 parasite clearance and its correlation with P. falciparum K13 propeller gene (pfkelch13) mutations in P. falciparum parasites isolated from patients with uncomplicated malaria under artemether-lumefantrine (AL) treatment. This study enrolled 100 P. falciparum-positive patients to whom AL was prescribed between 09/September/2022 and 06/November/2022. Blood samples were collected in EDTA tubes before treatment initiation (day 0) and on day 3. Parasitemia was assessed by microscopy from blood smears and quantitative polymerase chain reaction (qPCR) from the DNA extracted. The day 0 parasite K13 gene was sequenced using Sanger sequencing. Sequence data were analysed using MEGA version 11 software. The data were analysed using STATA version 15, and the Mann‒Whitney U test was used to compare PCR parasite clearance on day 3 using the comparative CT value method and pfkelch13 mutations. The prevalence of day 3 parasitaemia was 24% (24/100) by microscopy and 63% (63/100) by qPCR from the AL-treated patients. P. falciparum K13-propeller gene polymorphism was detected in 18.8% (15/80) of the day 0 DNA samples. The K13 mutations found were C469Y, 12.5% (10/80); A675V, 2.5% (2/80); A569S, 1.25%, (1/80), A578S, 1.25%, (1/80) and; F491S, 1.25%, (1/80) a new allele not reported anywhere. The C469Y mutation, compared to the wild-type, was associated with delayed parasite clearance p=0.0278, Hodges-Lehmann estimation 3.2108 on the log scale, (95%CI 1.7076, 4.4730). There was a high prevalence of day 3 P. falciparum among malaria patients treated using artemether-lumefantrine. We conclude that the K13 mutation associated with artemisinin resistance by P. falciparum is present in Adjumani district, Uganda. This necessitates regular surveillance of the effectiveness and efficacy of artemether-lumefantrine in the country.</t>
  </si>
  <si>
    <t>#542</t>
  </si>
  <si>
    <t>s0061_kamaliddin_2024</t>
  </si>
  <si>
    <t>10.1093/infdis/jiae373</t>
  </si>
  <si>
    <t>A countrywide survey of hrp2/3 deletions and kelch13 mutation co-occurrence in Ethiopia.</t>
  </si>
  <si>
    <t>Kamaliddin C; Burke-Gaffney J; Ashraf S; Castañeda-Mogollón D; Adamu A; Wijesinghe A; Pussegoda E; Feleke SM; Pillai DR</t>
  </si>
  <si>
    <t>Malaria elimination relies on detection of Plasmodium falciparum Histidine-Rich Proteins 2/3 (HRP2/3) through rapid diagnostic tests (RDTs) and treatment with artemisinin-combination therapies (ACTs). Data from the Horn of Africa suggest increasing hrp2/3 gene deletions and ACT partial resistance kelch13 (k13) mutations. To assess this, 233 samples collected during a national survey from 7 regions of Ethiopia were studied for hrp2/3 deletions by droplet digital dPCR and k13 mutations by DNA sequencing. Approximately 22% of the study population harbored complete hrp2/3 deletions by ddPCR. Thirty-two of 42 of k13 SNPs identified were R622I associated with ACT partial resistance. Both hrp2/3 deletions and k13 mutations associated with ACT partial resistance appear to be co-occurring especially in Northwest Ethiopia. Ongoing national surveillance relying on accurate laboratory methods are required to fully elaborate the genetic diversity of P. falciparum to inform public health policy makers.</t>
  </si>
  <si>
    <t>#530</t>
  </si>
  <si>
    <t>s0062_vonwowern_2024</t>
  </si>
  <si>
    <t>10.1016/j.ijid.2024.107102</t>
  </si>
  <si>
    <t>Lack of selection of antimalarial drug resistance markers after intermittent preventive treatment of schoolchildren (IPTsc) against malaria in northeastern Tanzania.</t>
  </si>
  <si>
    <t>Von Wowern F; Makenga G; Wellmann Thomsen S; Wellmann Thomsen L; Filtenborg Hocke E; Baraka V; Opot BH; Minja DTR; Lusingu JPA; Van-Geertruyden JP; Hansson H; Alifrangis M</t>
  </si>
  <si>
    <t>OBJECTIVE: Intermittent Preventive Treatment of schoolchildren (IPTsc) is recommended by WHO as a strategy to protect against malaria; to explore whether IPTsc with dihydroartemisinin-piperaquine (DP) or artesunate-amodiaquine (ASAQ) cause a selection of molecular markers in Plasmodium falciparum genes associated with resistance in children in seven schools in Tanga region, Tanzania. METHODS: SNPs in P. falciparum genes Pfmdr1, Pfexo, Pfkelch13, and Pfcrt and copy number variations in Pfplasmepsin-2 and Pfmdr1 were assessed in samples collected at 12 months (visit 4, n=74) and 20 months (visit 6, n=364) after initiation of IPTsc and compared with the baseline prevalence (n=379). RESULTS: The prevalence of Pfmdr1 N86 and Pfexo 415G was &gt;99% and 0%, respectively without any temporal differences observed. The prevalence of Pfmdr1 184F changed significantly from baseline (52.2%) to visit 6 (64.6%) (χ(2)=6.11, P=0.013), but no differences were observed between the treatment arms (χ(2)=0.05, P=0.98). Finally, only minor differences in the amplification of Pfmdr1 were observed; from 10.2% at baseline to 16.7% at visit 6 (χ(2)=0.98, P=0.32). CONCLUSIONS: The IPTsc strategy does not seem to pose a risk for the selection of markers associated with DP or ASAQ resistance. Continuously and timely surveillance of markers of antimalarial drug resistance is recommended.</t>
  </si>
  <si>
    <t>#537</t>
  </si>
  <si>
    <t>s0065_ndiaye</t>
  </si>
  <si>
    <t>10.1186/s12936-024-05024-8</t>
  </si>
  <si>
    <t>SEN</t>
  </si>
  <si>
    <t>Two decades of molecular surveillance in Senegal reveal rapid changes in known drug resistance mutations over time.</t>
  </si>
  <si>
    <t>Ndiaye YD; Wong W; Thwing J; Schaffner SF; Brenneman KV; Tine A; Diallo MA; Deme AB; Sy M; Bei AK; Thiaw AB; Daniels R; Ndiaye T; Gaye A; Ndiaye IM; Toure M; Gadiaga N; Sene A; Sow D; Garba MN; Yade MS; Dieye B; Diongue K; Zoumarou D; Ndiaye A; Gomis JF; Fall FB; Ndiop M; Diallo I; Sene D; Macinnis B; Seck MC; Ndiaye M; Ngom B; Diedhiou Y; Mbaye AM; Ndiaye L; Sy N; Badiane AS; Hartl DL; Wirth DF; Volkman SK; Ndiaye D</t>
  </si>
  <si>
    <t>BACKGROUND: Drug resistance in Plasmodium falciparum is a major threat to malaria control efforts. Pathogen genomic surveillance could be invaluable for monitoring current and emerging parasite drug resistance. METHODS: Data from two decades (2000-2020) of continuous molecular surveillance of P. falciparum parasites from Senegal were retrospectively examined to assess historical changes in malaria drug resistance mutations. Several known drug resistance markers and their surrounding haplotypes were profiled using a combination of single nucleotide polymorphism (SNP) molecular surveillance and whole genome sequence based population genomics. RESULTS: This dataset was used to track temporal changes in drug resistance markers whose timing correspond to historically significant events such as the withdrawal of chloroquine (CQ) and the introduction of sulfadoxine-pyrimethamine (SP) in 2003. Changes in the mutation frequency at Pfcrt K76T and Pfdhps A437G coinciding with the 2014 introduction of seasonal malaria chemoprevention (SMC) in Senegal were observed. In 2014, the frequency of Pfcrt K76T increased while the frequency of Pfdhps A437G declined. Haplotype-based analyses of Pfcrt K76T showed that this rapid increase was due to a recent selective sweep that started after 2014. DISCUSSION (CONCLUSION): The rapid increase in Pfcrt K76T is troubling and could be a sign of emerging amodiaquine (AQ) resistance in Senegal. Emerging AQ resistance may threaten the future clinical efficacy of artesunate-amodiaquine (ASAQ) and AQ-dependent SMC chemoprevention. These results highlight the potential of molecular surveillance for detecting rapid changes in parasite populations and stress the need to monitor the effectiveness of AQ as a partner drug for artemisinin-based combination therapy (ACT) and for chemoprevention.</t>
  </si>
  <si>
    <t>#375</t>
  </si>
  <si>
    <t>s0067_makenga_2022</t>
  </si>
  <si>
    <t>10.1371/journal.pone.0268654</t>
  </si>
  <si>
    <t>Attributable risk factors for asymptomatic malaria and anaemia and their association with cognitive and psychomotor functions in schoolchildren of north-eastern Tanzania.</t>
  </si>
  <si>
    <t>Makenga G; Baraka V; Francis F; Minja DTR; Gesase S; Kyaruzi E; Mtove G; Nakato S; Madebe R; Søeborg SR; Langhoff KH; Hansson HS; Alifrangis M; Lusingu JPA; Van Geertruyden JP</t>
  </si>
  <si>
    <t>In Africa, children aged 5 to 15 years (school age) comprises more than 50% (&gt;339 million) of the under 19 years population, and are highly burdened by malaria and anaemia that impair cognitive development. For the prospects of improving health in African citizens, understanding malaria and its relation to anaemia in school-aged children, it is crucial to inform targeted interventions for malaria control and accelerate elimination efforts as part of improved school health policy. We conducted a study to determine the risk factors for asymptomatic malaria and their association to anaemia. We explored the prevalence of antimalarial drug resistance as well as the association of asymptomatic malaria infection and anaemia on cognitive and psychomotor functions in school-aged children living in high endemic areas. This study was a comprehensive baseline survey, within the scope of a randomised, controlled trial on the effectiveness and safety of antimalarial drugs in preventing malaria and its related morbidity in schoolchildren. We enrolled 1,587 schoolchildren from 7 primary schools located in Muheza, north-eastern Tanzania. Finger-pricked blood samples were collected for estimation of malaria parasitaemia using a microscope, haemoglobin concentration using a haemoglobinometer, and markers of drug resistance processed from dried blood spots (DBS). Psychomotor and Cognitive functions were assessed using a '20 metre Shuttle run' and a test of everyday attention for children (TEA-Ch), respectively. The prevalence of asymptomatic malaria parasitaemia, anaemia and stunting was 26.4%, 49.8%, and 21.0%, respectively with marked variation across schools. In multivariate models, asymptomatic malaria parasitaemia attributed to 61% of anaemia with a respective population attribution fraction of 16%. Stunting, not sleeping under a bednet and illiterate parent or guardian were other factors attributing to 7%, 9%, and 5% of anaemia in the study population, respectively. Factors such as age group (10-15 years), not sleeping under a bednet, low socioeconomic status, parents' or guardians' with a low level of education, children overcrowding in a household, and fewer rooms in a household were significantly attributed to higher malaria infection. There was no significant association between malaria infection or anaemia and performance on tests of cognitive function (sustained attention) or psychomotor function (VO2 max). However, a history of malaria in the past one month was significantly associated with decreased cognitive scores (aOR = -4.1, 95% CI -7.7-0.6, p = 0.02). Furthermore, stunted children had significantly lower VO2max scores (aOR = -1.9, 95% CI -3.0-0.8, p = 0.001). Regarding the antimalarial drug resistance markers, the most prevalent Pfmdr1 86-184-1034-1042-1246 haplotypes were the NFSND in 47% (n = 88) and the NYSND in 52% (n = 98). The wild type Pfcrt haplotypes (codons 72-76, CVMNK) were found in 99.1% (n = 219) of the samples. Malaria, stunting and parents' or guardians' illiteracy were the key attributable factors for anaemia in schoolchildren. Given malaria infection in schoolchildren is mostly asymptomatic; an addition of interventional programmes such as intermittent preventive treatment of malaria in schoolchildren (IPTsc) would probably act as a potential solution while calling for an improvement in the current tools such as bednet use, school food programme, and community-based (customised) health education with an emphasis on nutrition and malaria control.</t>
  </si>
  <si>
    <t>#438</t>
  </si>
  <si>
    <t>s0068_dasilva_2023</t>
  </si>
  <si>
    <t>10.1186/s12936-023-04589-0</t>
  </si>
  <si>
    <t>MOZ</t>
  </si>
  <si>
    <t>Anti-malarial resistance in Mozambique: Absence of Plasmodium falciparum Kelch 13 (K13) propeller domain polymorphisms associated with resistance to artemisinins.</t>
  </si>
  <si>
    <t>da Silva C; Matias D; Dias B; Cancio B; Silva M; Viegas R; Chivale N; Luis S; Salvador C; Duarte D; Arnaldo P; Enosse S; Nogueira F</t>
  </si>
  <si>
    <t>BACKGROUND: Malaria remains one of the most serious public health problems in sub-Saharan Africa and Mozambique is the world's fourth largest contributor, with 4.7% of disease cases and 3.6% of total deaths due to malaria. Its control relies on the fight against the vector and treatment of confirmed cases with anti-malarial drugs. Molecular surveillance is an important tool for monitoring the spread of anti-malarial drug resistance. METHODS: A cross-sectional study recruited 450 participants with malaria infection detected by Rapid Diagnostic Tests, from three different study sites (Niassa, Manica and Maputo) between April and August 2021. Correspondent blood samples were collected on filter paper (Whatman® FTA® cards), parasite DNA extracted and pfk13 gene sequenced using Sanger method. SIFT software (Sorting Intolerant From Tolerant) was used, predict whether an amino acid substitution affects protein function. RESULTS: No pfkelch13-mediated artemisinin resistance gene mutation was detected in this study settings. However, non-synonymous mutations were detected at prevalence of 10.2%, 6% and 5% in Niassa, Manica and Maputo, respectively. Most (56.3%) of the reported non-synonymous mutations were due to substitution at the first base of the codon, 25% at the second base and 18.8% at the third base. Additionally, 50% of non-synonymous mutations showed a SIFTscore bellow cut off value of 0.05, therefore, they were predicted to be deleterious. CONCLUSION: These results do not show an emergence of artemisinin resistance cases in Mozambique. However, the increased number of novel non-synonymous mutations highlights the relevance of increasing the number of studies focused on the molecular surveillance of artemisinin resistance markers, for its early detection.</t>
  </si>
  <si>
    <t>#151</t>
  </si>
  <si>
    <t>s0071_mohammed_sdn_2018</t>
  </si>
  <si>
    <t>10.12688/f1000research.13273.1</t>
  </si>
  <si>
    <t>SDN</t>
  </si>
  <si>
    <t>Cross sectional study to determine chloroquine resistance among Plasmodium falciparum clinical isolates from Khartoum, Sudan.</t>
  </si>
  <si>
    <t>Abdulla Mohammed WS; Yasin K; Mahgoub NS; Abdel Hamid MM</t>
  </si>
  <si>
    <t>Background:  Malaria continues to present a global health threat; the World Health Organization (WHO) reported 214 million cases of malaria by the year 2015 with a death rate of 438000. Sudan is endemic to malaria with over 95% of malaria cases due to Plasmodium falciparum. Chloroquine is a well-established drug in the treatment of P. falciparum malaria although its use has declined since its introduction as the drug of choice in treatment of malaria in Sudan. The mechanism of resistance has been attributed to mutations in P. falciparum Chloroquine resistance transporter gene coding for a key food vacuole proteins. In current study we aimed at verifying the genetic cause of resistance to Chloroquine in field isolates of P. falciparum. Methods: Twenty P. falciparum cases were diagnosed from East Nile hospital in Khartoum and recruited in the investigation. Nested PCR was conducted to isolate mutation region in the PfCRT gene and the amplicons were sequenced using Sanger sequencing technique (Macrogen, Soule Korea). Results: 16/20 (80%) of the field isolates contained base pair mutation of codon 76 in the pfcrt gene thus being resistant to chloroquine treatment and only 4/20 (20%) did not contain such mutation. Conclusions: High treatment failures associated with Chloroquine treatment is evident of the high prevalence of mutant strains of P. falciparum field isolates thus suggesting the reduced relevance of Chloroquine as a treatment choice in the management of P. falciparum malaria.</t>
  </si>
  <si>
    <t>F1000Res</t>
  </si>
  <si>
    <t>#596</t>
  </si>
  <si>
    <t>s0072_makau_ken_2024</t>
  </si>
  <si>
    <t>10.1186/s41182-024-00640-1</t>
  </si>
  <si>
    <t>Presence of Plasmodium falciparum strains with artemisinin-resistant K13 mutation C469Y in Busia County, Western Kenya.</t>
  </si>
  <si>
    <t>Makau, Mark; Kanoi, Bernard N.; Mgawe, Calvin; Maina, Michael; Bitshi, Mimie; Too, Edwin K.; Naruse, Taeko K.; Abkallo, Hussein M.; Waweru, Harrison; Adung'o, Ferdinand; Kaneko, Osamu; Gitaka, Jesse</t>
  </si>
  <si>
    <t>Malaria remains a key health and economic problem, particularly in sub-Saharan Africa. The emergence of artemisinin drug resistance (ART-R) parasite strains  poses a serious threat to the control and elimination of this scourge. This is  because artemisinin-based combination therapies (ACTs) remain the first-line  treatment in the majority of malaria-endemic regions in Sub-Saharan Africa.  Certain single-nucleotide polymorphisms in the propeller domains of Plasmodium  falciparum Kelch 13 protein (K13) have been associated with delayed parasite  clearance in vivo and in vitro. These mutations serve as vital molecular markers  for tracking the emergence and dispersion of resistance. Recently, there have  been increasing reports of the emergence and spread of P. falciparum ART-R  parasites in the Eastern Africa region. This necessitates continued surveillance  to best inform mitigation efforts. This study investigated the presence of all  reported mutations of K13 propeller domains in the parasite population in Busia  County, Kenya, a known malaria-endemic region. Two hundred twenty-six  participants with microscopically confirmed uncomplicated malaria were recruited  for this study. They were treated with artemether-lumefantrine under observation  for the first dose, and microscopic examination was repeated 1 day later after  ensuring the participants had taken the second and third doses. P. falciparum DNA  from all samples underwent targeted amplification of the K13 gene using a  semi-nested PCR approach, followed by Sanger sequencing. The recently validated  ART-R K13 mutation C469Y was identified in three samples. These three samples  were among 63 samples with a low reduction in parasitemia on day 1, suggesting  day 1 parasitemia reduction rate is a useful parameter to enrich the ART-R  parasites for further analysis. Our findings highlight the need for continuous  surveillance of ART-R in western Kenya and the region to determine the spread of  ART-R and inform containment.</t>
  </si>
  <si>
    <t>Trop Med Health</t>
  </si>
  <si>
    <t>#598</t>
  </si>
  <si>
    <t>s0073_agaba_uga_2024</t>
  </si>
  <si>
    <t>10.1186/s12936-024-05158-9</t>
  </si>
  <si>
    <t>Emerging threat of artemisinin partial resistance markers (pfk13 mutations) in Plasmodium falciparum parasite populations in multiple geographical locations in  high transmission regions of Uganda.</t>
  </si>
  <si>
    <t>Agaba, Bosco B.; Travis, Jye; Smith, David; Rugera, Simon P.; Zalwango, Maria G.; Opigo, Jimmy; Katureebe, Charles; Mpirirwe, Ruth; Bakary, Dembo; Antonio, Martin; Khalid, Beshir; Ngonzi, Joseph; Kamya, Moses R.; Kaleebu, Pontiano; Piot, Peter; Cheng, Qin</t>
  </si>
  <si>
    <t>BACKGROUND: Artemisinin-based combination therapy (ACT) is currently recommended for treatment of uncomplicated malaria. However, the emergence and spread of  partial artemisinin resistance threatens their effectiveness for malaria  treatment in sub-Saharan Africa where the burden of malaria is highest. Early  detection and reporting of validated molecular markers (pfk13 mutations) in  Plasmodium falciparum is useful for tracking the emergence and spread of partial  artemisinin resistance to inform containment efforts. METHODS: Genomic  surveillance was conducted at 50 surveillance sites across four regions of Uganda  in Karamoja, Lango, Acholi and West Nile from June 2021 to August 2023.  Symptomatic malaria suspected patients were recruited and screened for presence  of parasites. In addition, dried blood spots (DBS) were collected for parasite  genomic analysis with PCR and sequencing. Out of 563 available dried blood spots  (DBS), a random subset of 240 P. falciparum mono-infections, confirmed by a  multiplex PCR were selected and used for detecting the pfk13 mutations by Sanger  sequencing using Big Dye Terminator method. Regional variations in the  proportions of pfk13 mutations were assessed using the chi square or Fisher's  exact tests while Kruskal-Wallis test was used to compare absolute parasite DNA  levels between wild type and mutant parasites. RESULTS: Overall, 238/240 samples  (99.2%) contained sufficient DNA and were successfully sequenced. Three mutations  were identified within the sequenced samples; pfk13 C469Y in 32/238 (13.5%)  samples, pfk13 A675V in 14/238 (5.9%) and pfk13 S522C in (1/238 (0.42%) samples  across the four surveyed regions. The prevalence of pfk13 C469Y mutation was  significantly higher in Karamoja region (23.3%) compared to other regions,  P = 0.007. The majority of parasite isolates circulating in West Nile are of wild  type (98.3), P = 0.002. Relative parasite DNA quantity did not differ in samples  carrying the wild type, C469Y and A675V alleles (Kruskal-Wallis test,  P = 0.6373). CONCLUSION: Detection of validated molecular markers of artemisinin  partial resistance in multiple geographical locations in this setting provides  additional evidence of emerging threat of artemisinin partial resistance in  Uganda. In view of these findings, periodic genomic surveillance is recommended  to detect and monitor levels of pfk13 mutations in other regions in parallel with  TES to assess potential implication on delayed parasite clearance and associated  treatment failure in this setting. Future studies should consider identification  of potential drivers of artemisinin partial resistance in the different malaria  transmission settings in Uganda.</t>
  </si>
  <si>
    <t>#1707</t>
  </si>
  <si>
    <t>s0076_martin_2025</t>
  </si>
  <si>
    <t>10.1093/infdis/jiaf188</t>
  </si>
  <si>
    <t>Emergence and Rising Prevalence of Artemisinin Partial Resistance Marker Kelch13 P441L in a Low Malaria Transmission Setting in Southern Zambia</t>
  </si>
  <si>
    <t>#1619</t>
  </si>
  <si>
    <t>s0028_alemayehu</t>
  </si>
  <si>
    <t>10.21203/rs.3.rs-171038/v1</t>
  </si>
  <si>
    <t>Expansion of the Plasmodium falciparum Kelch 13 R622I mutation in Northwest Ethiopia</t>
  </si>
  <si>
    <t>June</t>
  </si>
  <si>
    <t>internal server</t>
  </si>
  <si>
    <t>s0002 _ayelaw_eth2023</t>
  </si>
  <si>
    <t>10.1101/2025.06.23.25330019</t>
  </si>
  <si>
    <t>Artemisinin resistant kelch13 R622I and RDT negativity approaching predominance in northern Ethiopia and emerging C580Y of African origin threaten falciparum malaria control</t>
  </si>
  <si>
    <t>s0003_gidey_eth2022</t>
  </si>
  <si>
    <t>10.1038/s43856-025-01008-0</t>
  </si>
  <si>
    <t>Rising prevalence of Plasmodium falciparum Artemisinin partial resistance mutations in Ethiopia</t>
  </si>
  <si>
    <t>Commun Med</t>
  </si>
  <si>
    <t>s0006_WRAIR_kenread_ken</t>
  </si>
  <si>
    <t>preprint</t>
  </si>
  <si>
    <t>10.1101/2025.07.15.25331603</t>
  </si>
  <si>
    <t>Two decades of molecular surveillance in Kenya reveal shifting Plasmodium falciparum drug resistance mutations linked to frontline drug changes</t>
  </si>
  <si>
    <t>s0007_connelly_2024_zim</t>
  </si>
  <si>
    <t>10.1093/infdis/jiaf431</t>
  </si>
  <si>
    <t>TZA, ZAN</t>
  </si>
  <si>
    <t>Artemisinin Partial Resistance Mutations in Zanzibar and Tanzania Suggest Regional Spread and African Origins, 2023</t>
  </si>
  <si>
    <t>s0008_MSMT_TZA_22_23</t>
  </si>
  <si>
    <t>10.1101/2025.11.26.25341086</t>
  </si>
  <si>
    <t>Temporal Trends in Artemisinin Partial Resistance and Other Antimalarial Drug Mutations in Plasmodium falciparum from Kagera Region, Northwestern Tanzania, 2021–2023</t>
  </si>
  <si>
    <t>s0010_karamoko_mgem_unpub</t>
  </si>
  <si>
    <t>10.1101/2025.11.11.25339971</t>
  </si>
  <si>
    <t>MLI</t>
  </si>
  <si>
    <t>Genome-wide SNP genotyping of Plasmodium falciparum isolates across Mali reveals major impacts of Pfsa1 and PfCRT K76T selections on parasite populations</t>
  </si>
  <si>
    <t>s0011_jacques-mari_gmms_unpub</t>
  </si>
  <si>
    <t>10.1101/2025.08.07.25333205</t>
  </si>
  <si>
    <t>GAB</t>
  </si>
  <si>
    <t>Clonal Transmission of Emerging Novel Plasmodium falciparum Kelch13 Mutations and Increasing Complexity of Infection in Libreville, Gabon, 2021-2023</t>
  </si>
  <si>
    <t>s0021_roh_2023</t>
  </si>
  <si>
    <t>10.1093/infdis/jiad172</t>
  </si>
  <si>
    <t>Seasonal Malaria Chemoprevention Drug Levels and Drug Resistance Markers in Children With or Without Malaria in Burkina Faso: A Case-Control Study</t>
  </si>
  <si>
    <t>Collaborator</t>
  </si>
  <si>
    <t>s0063_ngasala_2024</t>
  </si>
  <si>
    <t>10.1186/s12936-024-04931-0</t>
  </si>
  <si>
    <t>Efficacy and safety of artemether-lumefantrine for the treatment of uncomplicated falciparum malaria in mainland Tanzania, 2019</t>
  </si>
  <si>
    <t>Malaria J</t>
  </si>
  <si>
    <t>s0074_lepiscopia_2025</t>
  </si>
  <si>
    <t>10.3201/eid3106.241810</t>
  </si>
  <si>
    <t>High Prevalence of Artemisinin-Resistant Plasmodium falciparum, Southeastern Sudan</t>
  </si>
  <si>
    <t>Emerg Infect Dis</t>
  </si>
  <si>
    <t>s0075_eloff_2025</t>
  </si>
  <si>
    <t>10.4269/ajtmh.24-0870</t>
  </si>
  <si>
    <t>NAM</t>
  </si>
  <si>
    <t>High Prevalence of Molecular Markers Associated with Artemisinin, Sulfadoxine, and Pyrimethamine Resistance in Northern Namibia</t>
  </si>
  <si>
    <t>Am J Trop Med Hyg.</t>
  </si>
  <si>
    <t>Total of 0's</t>
  </si>
  <si>
    <t>% of 0s</t>
  </si>
  <si>
    <t>% of Yes</t>
  </si>
  <si>
    <t>Bias_report_author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</si>
</sst>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scheme val="minor"/>
    </font>
    <font>
      <b/>
      <sz val="10"/>
      <color theme="1"/>
      <name val="Arial"/>
      <family val="2"/>
    </font>
    <font>
      <b/>
      <sz val="10"/>
      <color rgb="FF000000"/>
      <name val="Arial"/>
      <family val="2"/>
    </font>
    <font>
      <sz val="11"/>
      <color rgb="FF000000"/>
      <name val="Arial"/>
      <family val="2"/>
    </font>
    <font>
      <b/>
      <sz val="10"/>
      <color theme="1"/>
      <name val="Arial"/>
      <family val="2"/>
      <scheme val="minor"/>
    </font>
    <font>
      <sz val="10"/>
      <color theme="1"/>
      <name val="Arial"/>
      <family val="2"/>
    </font>
    <font>
      <sz val="10"/>
      <color rgb="FF000000"/>
      <name val="Arial"/>
      <family val="2"/>
    </font>
    <font>
      <sz val="10"/>
      <color rgb="FF000000"/>
      <name val="Arial"/>
      <family val="2"/>
      <scheme val="minor"/>
    </font>
    <font>
      <sz val="10"/>
      <color theme="1"/>
      <name val="Arial"/>
      <family val="2"/>
      <scheme val="minor"/>
    </font>
    <font>
      <sz val="10"/>
      <color theme="1"/>
      <name val="Arial"/>
      <family val="2"/>
      <scheme val="minor"/>
    </font>
    <font>
      <sz val="10"/>
      <color rgb="FF1F1F1F"/>
      <name val="Arial"/>
      <family val="2"/>
    </font>
    <font>
      <u/>
      <sz val="10"/>
      <color rgb="FF0000FF"/>
      <name val="Arial"/>
      <family val="2"/>
    </font>
    <font>
      <u/>
      <sz val="10"/>
      <color rgb="FF1155CC"/>
      <name val="Arial"/>
      <family val="2"/>
    </font>
    <font>
      <b/>
      <sz val="10"/>
      <color rgb="FF000000"/>
      <name val="Arial"/>
      <family val="2"/>
      <scheme val="minor"/>
    </font>
    <font>
      <sz val="10"/>
      <color theme="1"/>
      <name val="Arial"/>
      <family val="2"/>
    </font>
    <font>
      <sz val="10"/>
      <color rgb="FF000000"/>
      <name val="Arial"/>
      <family val="2"/>
    </font>
  </fonts>
  <fills count="3">
    <fill>
      <patternFill patternType="none"/>
    </fill>
    <fill>
      <patternFill patternType="gray125"/>
    </fill>
    <fill>
      <patternFill patternType="solid">
        <fgColor rgb="FFFFFF00"/>
        <bgColor rgb="FFFFFF00"/>
      </patternFill>
    </fill>
  </fills>
  <borders count="2">
    <border>
      <left/>
      <right/>
      <top/>
      <bottom/>
      <diagonal/>
    </border>
    <border>
      <left/>
      <right/>
      <top/>
      <bottom style="thin">
        <color rgb="FF000000"/>
      </bottom>
      <diagonal/>
    </border>
  </borders>
  <cellStyleXfs count="1">
    <xf numFmtId="0" fontId="0" fillId="0" borderId="0"/>
  </cellStyleXfs>
  <cellXfs count="28">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3" fillId="0" borderId="0" xfId="0" applyFont="1" applyAlignment="1">
      <alignment horizontal="left"/>
    </xf>
    <xf numFmtId="0" fontId="4" fillId="0" borderId="1" xfId="0" applyFont="1" applyBorder="1" applyAlignment="1">
      <alignment horizontal="left"/>
    </xf>
    <xf numFmtId="0" fontId="5" fillId="0" borderId="0" xfId="0" applyFont="1" applyAlignment="1">
      <alignment horizontal="left"/>
    </xf>
    <xf numFmtId="0" fontId="5" fillId="0" borderId="0" xfId="0" applyFont="1"/>
    <xf numFmtId="0" fontId="5" fillId="0" borderId="0" xfId="0" applyFont="1" applyAlignment="1">
      <alignment horizontal="right"/>
    </xf>
    <xf numFmtId="0" fontId="6" fillId="0" borderId="0" xfId="0" applyFont="1"/>
    <xf numFmtId="0" fontId="1" fillId="0" borderId="0" xfId="0" applyFont="1" applyAlignment="1">
      <alignment horizontal="center"/>
    </xf>
    <xf numFmtId="0" fontId="7" fillId="0" borderId="0" xfId="0" applyFont="1"/>
    <xf numFmtId="0" fontId="8" fillId="0" borderId="0" xfId="0" applyFont="1"/>
    <xf numFmtId="0" fontId="9" fillId="0" borderId="0" xfId="0" applyFont="1"/>
    <xf numFmtId="0" fontId="10" fillId="0" borderId="0" xfId="0" applyFont="1"/>
    <xf numFmtId="0" fontId="9" fillId="0" borderId="0" xfId="0" applyFont="1" applyAlignment="1">
      <alignment horizontal="right"/>
    </xf>
    <xf numFmtId="0" fontId="9" fillId="0" borderId="0" xfId="0" applyFont="1" applyAlignment="1">
      <alignment horizontal="left"/>
    </xf>
    <xf numFmtId="0" fontId="11" fillId="0" borderId="0" xfId="0" applyFont="1" applyAlignment="1">
      <alignment horizontal="right"/>
    </xf>
    <xf numFmtId="0" fontId="12" fillId="0" borderId="0" xfId="0" applyFont="1"/>
    <xf numFmtId="0" fontId="2" fillId="0" borderId="0" xfId="0" applyFont="1" applyAlignment="1">
      <alignment horizontal="left"/>
    </xf>
    <xf numFmtId="0" fontId="2" fillId="0" borderId="0" xfId="0" applyFont="1"/>
    <xf numFmtId="0" fontId="2" fillId="0" borderId="0" xfId="0" applyFont="1" applyAlignment="1">
      <alignment horizontal="right"/>
    </xf>
    <xf numFmtId="0" fontId="13" fillId="0" borderId="0" xfId="0" applyFont="1"/>
    <xf numFmtId="0" fontId="14" fillId="0" borderId="0" xfId="0" applyFont="1" applyAlignment="1">
      <alignment horizontal="left"/>
    </xf>
    <xf numFmtId="0" fontId="14" fillId="0" borderId="0" xfId="0" applyFont="1"/>
    <xf numFmtId="0" fontId="15" fillId="0" borderId="0" xfId="0" applyFont="1"/>
    <xf numFmtId="0" fontId="14" fillId="0" borderId="0" xfId="0" applyFont="1" applyAlignment="1">
      <alignment horizontal="right"/>
    </xf>
    <xf numFmtId="0" fontId="5" fillId="2" borderId="0" xfId="0" applyFont="1" applyFill="1"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clinicaltrials.gov/NCT050705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931"/>
  <sheetViews>
    <sheetView tabSelected="1" workbookViewId="0">
      <pane ySplit="1" topLeftCell="A2" activePane="bottomLeft" state="frozen"/>
      <selection pane="bottomLeft" activeCell="D124" sqref="D124"/>
    </sheetView>
  </sheetViews>
  <sheetFormatPr baseColWidth="10" defaultColWidth="12.6640625" defaultRowHeight="15.75" customHeight="1" x14ac:dyDescent="0.15"/>
  <cols>
    <col min="1" max="1" width="16.6640625" customWidth="1"/>
    <col min="2" max="2" width="26.83203125" customWidth="1"/>
    <col min="3" max="3" width="8.33203125" customWidth="1"/>
    <col min="4" max="4" width="27.1640625" customWidth="1"/>
    <col min="5" max="5" width="19.5" bestFit="1" customWidth="1"/>
    <col min="6" max="7" width="18.1640625" customWidth="1"/>
    <col min="8" max="8" width="21.6640625" customWidth="1"/>
    <col min="9" max="10" width="18.1640625" customWidth="1"/>
    <col min="11" max="11" width="23" customWidth="1"/>
    <col min="12" max="12" width="21.83203125" customWidth="1"/>
  </cols>
  <sheetData>
    <row r="1" spans="1:42" ht="15.75" customHeight="1" x14ac:dyDescent="0.15">
      <c r="A1" s="1" t="s">
        <v>0</v>
      </c>
      <c r="B1" s="1" t="s">
        <v>1</v>
      </c>
      <c r="C1" s="1" t="s">
        <v>2</v>
      </c>
      <c r="D1" s="2" t="s">
        <v>3</v>
      </c>
      <c r="E1" s="2" t="s">
        <v>887</v>
      </c>
      <c r="F1" s="1" t="s">
        <v>4</v>
      </c>
      <c r="G1" s="1" t="s">
        <v>5</v>
      </c>
      <c r="H1" s="1" t="s">
        <v>6</v>
      </c>
      <c r="I1" s="1" t="s">
        <v>7</v>
      </c>
      <c r="J1" s="3" t="s">
        <v>8</v>
      </c>
      <c r="K1" s="1" t="s">
        <v>9</v>
      </c>
      <c r="L1" s="1" t="s">
        <v>10</v>
      </c>
      <c r="M1" s="1" t="s">
        <v>11</v>
      </c>
      <c r="N1" s="1" t="s">
        <v>12</v>
      </c>
      <c r="O1" s="1" t="s">
        <v>13</v>
      </c>
      <c r="P1" s="1" t="s">
        <v>14</v>
      </c>
      <c r="Q1" s="1" t="s">
        <v>15</v>
      </c>
      <c r="R1" s="1" t="s">
        <v>16</v>
      </c>
      <c r="S1" s="1" t="s">
        <v>17</v>
      </c>
      <c r="T1" s="1"/>
      <c r="U1" s="4"/>
      <c r="V1" s="1"/>
      <c r="W1" s="1"/>
      <c r="X1" s="1"/>
      <c r="Y1" s="1"/>
      <c r="Z1" s="1"/>
      <c r="AA1" s="1"/>
      <c r="AB1" s="1"/>
      <c r="AC1" s="1"/>
      <c r="AD1" s="1"/>
      <c r="AE1" s="1"/>
      <c r="AF1" s="1"/>
      <c r="AG1" s="1"/>
      <c r="AH1" s="1"/>
      <c r="AI1" s="1"/>
      <c r="AJ1" s="1"/>
      <c r="AK1" s="1"/>
      <c r="AL1" s="1"/>
      <c r="AM1" s="1"/>
      <c r="AN1" s="1"/>
      <c r="AO1" s="1"/>
      <c r="AP1" s="1"/>
    </row>
    <row r="2" spans="1:42" ht="15.75" customHeight="1" x14ac:dyDescent="0.15">
      <c r="A2" s="5" t="s">
        <v>18</v>
      </c>
      <c r="B2" s="6" t="s">
        <v>19</v>
      </c>
      <c r="C2" s="7">
        <v>28153004</v>
      </c>
      <c r="D2" s="8" t="s">
        <v>20</v>
      </c>
      <c r="E2" s="8" t="s">
        <v>21</v>
      </c>
      <c r="F2" s="7">
        <v>1</v>
      </c>
      <c r="G2" s="7">
        <v>1</v>
      </c>
      <c r="H2" s="7">
        <v>1</v>
      </c>
      <c r="I2" s="7">
        <v>1</v>
      </c>
      <c r="J2" s="7">
        <v>0</v>
      </c>
      <c r="K2" s="7">
        <v>1</v>
      </c>
      <c r="L2" s="7">
        <f t="shared" ref="L2:L122" si="0">SUM(F2:K2)</f>
        <v>5</v>
      </c>
      <c r="M2" s="5" t="s">
        <v>22</v>
      </c>
      <c r="N2" s="6" t="s">
        <v>23</v>
      </c>
      <c r="O2" s="6" t="s">
        <v>24</v>
      </c>
      <c r="P2" s="6" t="s">
        <v>25</v>
      </c>
      <c r="Q2" s="7">
        <v>2017</v>
      </c>
      <c r="R2" s="6" t="s">
        <v>26</v>
      </c>
      <c r="S2" s="6" t="s">
        <v>27</v>
      </c>
      <c r="T2" s="6"/>
      <c r="V2" s="6"/>
      <c r="W2" s="9"/>
      <c r="X2" s="9"/>
      <c r="Y2" s="9"/>
      <c r="Z2" s="6"/>
      <c r="AA2" s="6"/>
      <c r="AB2" s="6"/>
      <c r="AC2" s="6"/>
      <c r="AD2" s="6"/>
      <c r="AE2" s="6"/>
      <c r="AF2" s="6"/>
      <c r="AG2" s="6"/>
      <c r="AH2" s="6"/>
      <c r="AI2" s="6"/>
      <c r="AJ2" s="6"/>
      <c r="AK2" s="6"/>
      <c r="AL2" s="6"/>
      <c r="AM2" s="6"/>
      <c r="AN2" s="6"/>
      <c r="AO2" s="6"/>
      <c r="AP2" s="6"/>
    </row>
    <row r="3" spans="1:42" ht="15.75" customHeight="1" x14ac:dyDescent="0.15">
      <c r="A3" s="5" t="s">
        <v>28</v>
      </c>
      <c r="B3" s="6" t="s">
        <v>29</v>
      </c>
      <c r="C3" s="7">
        <v>33827587</v>
      </c>
      <c r="D3" s="8" t="s">
        <v>30</v>
      </c>
      <c r="E3" s="8" t="s">
        <v>21</v>
      </c>
      <c r="F3" s="7">
        <v>1</v>
      </c>
      <c r="G3" s="7">
        <v>1</v>
      </c>
      <c r="H3" s="7">
        <v>1</v>
      </c>
      <c r="I3" s="7">
        <v>1</v>
      </c>
      <c r="J3" s="7">
        <v>1</v>
      </c>
      <c r="K3" s="7">
        <v>1</v>
      </c>
      <c r="L3" s="7">
        <f t="shared" si="0"/>
        <v>6</v>
      </c>
      <c r="M3" s="5" t="s">
        <v>22</v>
      </c>
      <c r="N3" s="6" t="s">
        <v>31</v>
      </c>
      <c r="O3" s="6" t="s">
        <v>32</v>
      </c>
      <c r="P3" s="6" t="s">
        <v>33</v>
      </c>
      <c r="Q3" s="7">
        <v>2021</v>
      </c>
      <c r="R3" s="6" t="s">
        <v>34</v>
      </c>
      <c r="S3" s="6" t="s">
        <v>27</v>
      </c>
      <c r="T3" s="6"/>
      <c r="V3" s="6"/>
      <c r="W3" s="9"/>
      <c r="X3" s="9"/>
      <c r="Y3" s="9"/>
      <c r="Z3" s="6"/>
      <c r="AA3" s="6"/>
      <c r="AB3" s="6"/>
      <c r="AC3" s="6"/>
      <c r="AD3" s="6"/>
      <c r="AE3" s="6"/>
      <c r="AF3" s="6"/>
      <c r="AG3" s="6"/>
      <c r="AH3" s="6"/>
      <c r="AI3" s="6"/>
      <c r="AJ3" s="6"/>
      <c r="AK3" s="6"/>
      <c r="AL3" s="6"/>
      <c r="AM3" s="6"/>
      <c r="AN3" s="6"/>
      <c r="AO3" s="6"/>
      <c r="AP3" s="6"/>
    </row>
    <row r="4" spans="1:42" ht="15.75" customHeight="1" x14ac:dyDescent="0.15">
      <c r="A4" s="5" t="s">
        <v>35</v>
      </c>
      <c r="B4" s="6" t="s">
        <v>36</v>
      </c>
      <c r="C4" s="7">
        <v>34255739</v>
      </c>
      <c r="D4" s="8" t="s">
        <v>37</v>
      </c>
      <c r="E4" s="8" t="s">
        <v>21</v>
      </c>
      <c r="F4" s="7">
        <v>1</v>
      </c>
      <c r="G4" s="7">
        <v>1</v>
      </c>
      <c r="H4" s="7">
        <v>1</v>
      </c>
      <c r="I4" s="7">
        <v>0</v>
      </c>
      <c r="J4" s="7">
        <v>0</v>
      </c>
      <c r="K4" s="7">
        <v>1</v>
      </c>
      <c r="L4" s="7">
        <f t="shared" si="0"/>
        <v>4</v>
      </c>
      <c r="M4" s="5" t="s">
        <v>38</v>
      </c>
      <c r="N4" s="6" t="s">
        <v>39</v>
      </c>
      <c r="O4" s="6" t="s">
        <v>40</v>
      </c>
      <c r="P4" s="6" t="s">
        <v>41</v>
      </c>
      <c r="Q4" s="7">
        <v>2021</v>
      </c>
      <c r="R4" s="6" t="s">
        <v>42</v>
      </c>
      <c r="S4" s="6" t="s">
        <v>43</v>
      </c>
      <c r="T4" s="6"/>
      <c r="V4" s="6"/>
      <c r="W4" s="9"/>
      <c r="X4" s="9"/>
      <c r="Y4" s="9"/>
      <c r="Z4" s="6"/>
      <c r="AA4" s="6"/>
      <c r="AB4" s="6"/>
      <c r="AC4" s="6"/>
      <c r="AD4" s="6"/>
      <c r="AE4" s="6"/>
      <c r="AF4" s="6"/>
      <c r="AG4" s="6"/>
      <c r="AH4" s="6"/>
      <c r="AI4" s="6"/>
      <c r="AJ4" s="6"/>
      <c r="AK4" s="6"/>
      <c r="AL4" s="6"/>
      <c r="AM4" s="6"/>
      <c r="AN4" s="6"/>
      <c r="AO4" s="6"/>
      <c r="AP4" s="6"/>
    </row>
    <row r="5" spans="1:42" ht="15.75" customHeight="1" x14ac:dyDescent="0.15">
      <c r="A5" s="5" t="s">
        <v>44</v>
      </c>
      <c r="B5" s="6" t="s">
        <v>45</v>
      </c>
      <c r="C5" s="7">
        <v>37348801</v>
      </c>
      <c r="D5" s="8" t="s">
        <v>46</v>
      </c>
      <c r="E5" s="8" t="s">
        <v>21</v>
      </c>
      <c r="F5" s="7">
        <v>1</v>
      </c>
      <c r="G5" s="7">
        <v>1</v>
      </c>
      <c r="H5" s="7">
        <v>1</v>
      </c>
      <c r="I5" s="7">
        <v>1</v>
      </c>
      <c r="J5" s="7">
        <v>1</v>
      </c>
      <c r="K5" s="7">
        <v>1</v>
      </c>
      <c r="L5" s="7">
        <f t="shared" si="0"/>
        <v>6</v>
      </c>
      <c r="M5" s="5" t="s">
        <v>38</v>
      </c>
      <c r="N5" s="6" t="s">
        <v>47</v>
      </c>
      <c r="O5" s="6" t="s">
        <v>48</v>
      </c>
      <c r="P5" s="6" t="s">
        <v>49</v>
      </c>
      <c r="Q5" s="7">
        <v>2023</v>
      </c>
      <c r="R5" s="6" t="s">
        <v>50</v>
      </c>
      <c r="S5" s="6" t="s">
        <v>51</v>
      </c>
      <c r="T5" s="6"/>
      <c r="V5" s="6"/>
      <c r="W5" s="9"/>
      <c r="X5" s="9"/>
      <c r="Y5" s="9"/>
      <c r="Z5" s="6"/>
      <c r="AA5" s="6"/>
      <c r="AB5" s="6"/>
      <c r="AC5" s="6"/>
      <c r="AD5" s="6"/>
      <c r="AE5" s="6"/>
      <c r="AF5" s="6"/>
      <c r="AG5" s="6"/>
      <c r="AH5" s="6"/>
      <c r="AI5" s="6"/>
      <c r="AJ5" s="6"/>
      <c r="AK5" s="6"/>
      <c r="AL5" s="6"/>
      <c r="AM5" s="6"/>
      <c r="AN5" s="6"/>
      <c r="AO5" s="6"/>
      <c r="AP5" s="6"/>
    </row>
    <row r="6" spans="1:42" ht="15.75" customHeight="1" x14ac:dyDescent="0.15">
      <c r="A6" s="5" t="s">
        <v>52</v>
      </c>
      <c r="B6" s="6" t="s">
        <v>53</v>
      </c>
      <c r="C6" s="7">
        <v>33172485</v>
      </c>
      <c r="D6" s="8" t="s">
        <v>54</v>
      </c>
      <c r="E6" s="8" t="s">
        <v>21</v>
      </c>
      <c r="F6" s="7">
        <v>1</v>
      </c>
      <c r="G6" s="7">
        <v>1</v>
      </c>
      <c r="H6" s="7">
        <v>1</v>
      </c>
      <c r="I6" s="7">
        <v>0</v>
      </c>
      <c r="J6" s="7">
        <v>1</v>
      </c>
      <c r="K6" s="7">
        <v>1</v>
      </c>
      <c r="L6" s="7">
        <f t="shared" si="0"/>
        <v>5</v>
      </c>
      <c r="M6" s="5" t="s">
        <v>55</v>
      </c>
      <c r="N6" s="6" t="s">
        <v>56</v>
      </c>
      <c r="O6" s="6" t="s">
        <v>57</v>
      </c>
      <c r="P6" s="6" t="s">
        <v>58</v>
      </c>
      <c r="Q6" s="7">
        <v>2020</v>
      </c>
      <c r="R6" s="6" t="s">
        <v>59</v>
      </c>
      <c r="S6" s="6" t="s">
        <v>27</v>
      </c>
      <c r="T6" s="6"/>
      <c r="V6" s="6"/>
      <c r="W6" s="9"/>
      <c r="X6" s="9"/>
      <c r="Y6" s="9"/>
      <c r="Z6" s="6"/>
      <c r="AA6" s="6"/>
      <c r="AB6" s="6"/>
      <c r="AC6" s="6"/>
      <c r="AD6" s="6"/>
      <c r="AE6" s="6"/>
      <c r="AF6" s="6"/>
      <c r="AG6" s="6"/>
      <c r="AH6" s="6"/>
      <c r="AI6" s="6"/>
      <c r="AJ6" s="6"/>
      <c r="AK6" s="6"/>
      <c r="AL6" s="6"/>
      <c r="AM6" s="6"/>
      <c r="AN6" s="6"/>
      <c r="AO6" s="6"/>
      <c r="AP6" s="6"/>
    </row>
    <row r="7" spans="1:42" ht="15.75" customHeight="1" x14ac:dyDescent="0.15">
      <c r="A7" s="5" t="s">
        <v>60</v>
      </c>
      <c r="B7" s="6" t="s">
        <v>61</v>
      </c>
      <c r="C7" s="7">
        <v>33468147</v>
      </c>
      <c r="D7" s="8" t="s">
        <v>62</v>
      </c>
      <c r="E7" s="8" t="s">
        <v>21</v>
      </c>
      <c r="F7" s="7">
        <v>1</v>
      </c>
      <c r="G7" s="7">
        <v>1</v>
      </c>
      <c r="H7" s="7">
        <v>1</v>
      </c>
      <c r="I7" s="7">
        <v>0</v>
      </c>
      <c r="J7" s="7">
        <v>1</v>
      </c>
      <c r="K7" s="7">
        <v>1</v>
      </c>
      <c r="L7" s="7">
        <f t="shared" si="0"/>
        <v>5</v>
      </c>
      <c r="M7" s="5" t="s">
        <v>55</v>
      </c>
      <c r="N7" s="6" t="s">
        <v>63</v>
      </c>
      <c r="O7" s="6" t="s">
        <v>64</v>
      </c>
      <c r="P7" s="6" t="s">
        <v>65</v>
      </c>
      <c r="Q7" s="7">
        <v>2021</v>
      </c>
      <c r="R7" s="6" t="s">
        <v>66</v>
      </c>
      <c r="S7" s="6" t="s">
        <v>27</v>
      </c>
      <c r="T7" s="6"/>
      <c r="V7" s="6"/>
      <c r="W7" s="9"/>
      <c r="X7" s="9"/>
      <c r="Y7" s="9"/>
      <c r="Z7" s="6"/>
      <c r="AA7" s="6"/>
      <c r="AB7" s="6"/>
      <c r="AC7" s="6"/>
      <c r="AD7" s="6"/>
      <c r="AE7" s="6"/>
      <c r="AF7" s="6"/>
      <c r="AG7" s="6"/>
      <c r="AH7" s="6"/>
      <c r="AI7" s="6"/>
      <c r="AJ7" s="6"/>
      <c r="AK7" s="6"/>
      <c r="AL7" s="6"/>
      <c r="AM7" s="6"/>
      <c r="AN7" s="6"/>
      <c r="AO7" s="6"/>
      <c r="AP7" s="6"/>
    </row>
    <row r="8" spans="1:42" ht="15.75" customHeight="1" x14ac:dyDescent="0.15">
      <c r="A8" s="5" t="s">
        <v>67</v>
      </c>
      <c r="B8" s="6" t="s">
        <v>68</v>
      </c>
      <c r="C8" s="7">
        <v>37474966</v>
      </c>
      <c r="D8" s="8" t="s">
        <v>69</v>
      </c>
      <c r="E8" s="8" t="s">
        <v>21</v>
      </c>
      <c r="F8" s="7">
        <v>1</v>
      </c>
      <c r="G8" s="7">
        <v>1</v>
      </c>
      <c r="H8" s="7">
        <v>1</v>
      </c>
      <c r="I8" s="7">
        <v>1</v>
      </c>
      <c r="J8" s="7">
        <v>1</v>
      </c>
      <c r="K8" s="7">
        <v>1</v>
      </c>
      <c r="L8" s="7">
        <f t="shared" si="0"/>
        <v>6</v>
      </c>
      <c r="M8" s="5" t="s">
        <v>55</v>
      </c>
      <c r="N8" s="6" t="s">
        <v>70</v>
      </c>
      <c r="O8" s="6" t="s">
        <v>71</v>
      </c>
      <c r="P8" s="6" t="s">
        <v>72</v>
      </c>
      <c r="Q8" s="7">
        <v>2023</v>
      </c>
      <c r="R8" s="6" t="s">
        <v>42</v>
      </c>
      <c r="S8" s="6" t="s">
        <v>27</v>
      </c>
      <c r="T8" s="6"/>
      <c r="V8" s="6"/>
      <c r="W8" s="9"/>
      <c r="X8" s="9"/>
      <c r="Y8" s="9"/>
      <c r="Z8" s="6"/>
      <c r="AA8" s="6"/>
      <c r="AB8" s="6"/>
      <c r="AC8" s="6"/>
      <c r="AD8" s="6"/>
      <c r="AE8" s="6"/>
      <c r="AF8" s="6"/>
      <c r="AG8" s="6"/>
      <c r="AH8" s="6"/>
      <c r="AI8" s="6"/>
      <c r="AJ8" s="6"/>
      <c r="AK8" s="6"/>
      <c r="AL8" s="6"/>
      <c r="AM8" s="6"/>
      <c r="AN8" s="6"/>
      <c r="AO8" s="6"/>
      <c r="AP8" s="6"/>
    </row>
    <row r="9" spans="1:42" ht="15.75" customHeight="1" x14ac:dyDescent="0.15">
      <c r="A9" s="5" t="s">
        <v>73</v>
      </c>
      <c r="B9" s="6" t="s">
        <v>74</v>
      </c>
      <c r="C9" s="7">
        <v>27389361</v>
      </c>
      <c r="D9" s="8" t="s">
        <v>75</v>
      </c>
      <c r="E9" s="8" t="s">
        <v>21</v>
      </c>
      <c r="F9" s="7">
        <v>1</v>
      </c>
      <c r="G9" s="7">
        <v>1</v>
      </c>
      <c r="H9" s="7">
        <v>1</v>
      </c>
      <c r="I9" s="7">
        <v>1</v>
      </c>
      <c r="J9" s="7">
        <v>0</v>
      </c>
      <c r="K9" s="7">
        <v>1</v>
      </c>
      <c r="L9" s="7">
        <f t="shared" si="0"/>
        <v>5</v>
      </c>
      <c r="M9" s="5" t="s">
        <v>76</v>
      </c>
      <c r="N9" s="6" t="s">
        <v>77</v>
      </c>
      <c r="O9" s="6" t="s">
        <v>78</v>
      </c>
      <c r="P9" s="6" t="s">
        <v>79</v>
      </c>
      <c r="Q9" s="7">
        <v>2016</v>
      </c>
      <c r="R9" s="6" t="s">
        <v>80</v>
      </c>
      <c r="S9" s="6" t="s">
        <v>81</v>
      </c>
      <c r="T9" s="6"/>
      <c r="V9" s="6"/>
      <c r="W9" s="9"/>
      <c r="X9" s="9"/>
      <c r="Y9" s="9"/>
      <c r="Z9" s="6"/>
      <c r="AA9" s="6"/>
      <c r="AB9" s="6"/>
      <c r="AC9" s="6"/>
      <c r="AD9" s="6"/>
      <c r="AE9" s="6"/>
      <c r="AF9" s="6"/>
      <c r="AG9" s="6"/>
      <c r="AH9" s="6"/>
      <c r="AI9" s="6"/>
      <c r="AJ9" s="6"/>
      <c r="AK9" s="6"/>
      <c r="AL9" s="6"/>
      <c r="AM9" s="6"/>
      <c r="AN9" s="6"/>
      <c r="AO9" s="6"/>
      <c r="AP9" s="6"/>
    </row>
    <row r="10" spans="1:42" ht="15.75" customHeight="1" x14ac:dyDescent="0.15">
      <c r="A10" s="5" t="s">
        <v>82</v>
      </c>
      <c r="B10" s="6" t="s">
        <v>83</v>
      </c>
      <c r="C10" s="7">
        <v>33940188</v>
      </c>
      <c r="D10" s="8" t="s">
        <v>84</v>
      </c>
      <c r="E10" s="8" t="s">
        <v>21</v>
      </c>
      <c r="F10" s="7">
        <v>1</v>
      </c>
      <c r="G10" s="7">
        <v>1</v>
      </c>
      <c r="H10" s="7">
        <v>1</v>
      </c>
      <c r="I10" s="7">
        <v>1</v>
      </c>
      <c r="J10" s="7">
        <v>0</v>
      </c>
      <c r="K10" s="7">
        <v>1</v>
      </c>
      <c r="L10" s="7">
        <f t="shared" si="0"/>
        <v>5</v>
      </c>
      <c r="M10" s="5" t="s">
        <v>76</v>
      </c>
      <c r="N10" s="6" t="s">
        <v>85</v>
      </c>
      <c r="O10" s="6" t="s">
        <v>86</v>
      </c>
      <c r="P10" s="6" t="s">
        <v>87</v>
      </c>
      <c r="Q10" s="7">
        <v>2021</v>
      </c>
      <c r="R10" s="6" t="s">
        <v>88</v>
      </c>
      <c r="S10" s="6" t="s">
        <v>89</v>
      </c>
      <c r="T10" s="6"/>
      <c r="V10" s="6"/>
      <c r="W10" s="9"/>
      <c r="X10" s="9"/>
      <c r="Y10" s="9"/>
      <c r="Z10" s="6"/>
      <c r="AA10" s="6"/>
      <c r="AB10" s="6"/>
      <c r="AC10" s="6"/>
      <c r="AD10" s="6"/>
      <c r="AE10" s="6"/>
      <c r="AF10" s="6"/>
      <c r="AG10" s="6"/>
      <c r="AH10" s="6"/>
      <c r="AI10" s="6"/>
      <c r="AJ10" s="6"/>
      <c r="AK10" s="6"/>
      <c r="AL10" s="6"/>
      <c r="AM10" s="6"/>
      <c r="AN10" s="6"/>
      <c r="AO10" s="6"/>
      <c r="AP10" s="6"/>
    </row>
    <row r="11" spans="1:42" ht="15.75" customHeight="1" x14ac:dyDescent="0.15">
      <c r="A11" s="5" t="s">
        <v>90</v>
      </c>
      <c r="B11" s="6" t="s">
        <v>91</v>
      </c>
      <c r="C11" s="7">
        <v>34411157</v>
      </c>
      <c r="D11" s="8" t="s">
        <v>92</v>
      </c>
      <c r="E11" s="8" t="s">
        <v>21</v>
      </c>
      <c r="F11" s="7">
        <v>1</v>
      </c>
      <c r="G11" s="7">
        <v>1</v>
      </c>
      <c r="H11" s="7">
        <v>1</v>
      </c>
      <c r="I11" s="7">
        <v>0</v>
      </c>
      <c r="J11" s="7">
        <v>0</v>
      </c>
      <c r="K11" s="7">
        <v>1</v>
      </c>
      <c r="L11" s="7">
        <f t="shared" si="0"/>
        <v>4</v>
      </c>
      <c r="M11" s="5" t="s">
        <v>76</v>
      </c>
      <c r="N11" s="6" t="s">
        <v>93</v>
      </c>
      <c r="O11" s="6" t="s">
        <v>94</v>
      </c>
      <c r="P11" s="6" t="s">
        <v>95</v>
      </c>
      <c r="Q11" s="7">
        <v>2021</v>
      </c>
      <c r="R11" s="6" t="s">
        <v>96</v>
      </c>
      <c r="S11" s="6" t="s">
        <v>97</v>
      </c>
      <c r="T11" s="6"/>
      <c r="V11" s="6"/>
      <c r="W11" s="9"/>
      <c r="X11" s="9"/>
      <c r="Y11" s="9"/>
      <c r="Z11" s="6"/>
      <c r="AA11" s="6"/>
      <c r="AB11" s="6"/>
      <c r="AC11" s="6"/>
      <c r="AD11" s="6"/>
      <c r="AE11" s="6"/>
      <c r="AF11" s="6"/>
      <c r="AG11" s="6"/>
      <c r="AH11" s="6"/>
      <c r="AI11" s="6"/>
      <c r="AJ11" s="6"/>
      <c r="AK11" s="6"/>
      <c r="AL11" s="6"/>
      <c r="AM11" s="6"/>
      <c r="AN11" s="6"/>
      <c r="AO11" s="6"/>
      <c r="AP11" s="6"/>
    </row>
    <row r="12" spans="1:42" ht="15.75" customHeight="1" x14ac:dyDescent="0.15">
      <c r="A12" s="5" t="s">
        <v>98</v>
      </c>
      <c r="B12" s="6" t="s">
        <v>99</v>
      </c>
      <c r="C12" s="7">
        <v>34453535</v>
      </c>
      <c r="D12" s="8" t="s">
        <v>100</v>
      </c>
      <c r="E12" s="8" t="s">
        <v>21</v>
      </c>
      <c r="F12" s="7">
        <v>1</v>
      </c>
      <c r="G12" s="7">
        <v>1</v>
      </c>
      <c r="H12" s="7">
        <v>1</v>
      </c>
      <c r="I12" s="7">
        <v>0</v>
      </c>
      <c r="J12" s="7">
        <v>0</v>
      </c>
      <c r="K12" s="7">
        <v>1</v>
      </c>
      <c r="L12" s="7">
        <f t="shared" si="0"/>
        <v>4</v>
      </c>
      <c r="M12" s="5" t="s">
        <v>76</v>
      </c>
      <c r="N12" s="6" t="s">
        <v>101</v>
      </c>
      <c r="O12" s="6" t="s">
        <v>102</v>
      </c>
      <c r="P12" s="6" t="s">
        <v>103</v>
      </c>
      <c r="Q12" s="7">
        <v>2021</v>
      </c>
      <c r="R12" s="6" t="s">
        <v>80</v>
      </c>
      <c r="S12" s="6" t="s">
        <v>104</v>
      </c>
      <c r="T12" s="6"/>
      <c r="V12" s="6"/>
      <c r="W12" s="9"/>
      <c r="X12" s="9"/>
      <c r="Y12" s="9"/>
      <c r="Z12" s="6"/>
      <c r="AA12" s="6"/>
      <c r="AB12" s="6"/>
      <c r="AC12" s="6"/>
      <c r="AD12" s="6"/>
      <c r="AE12" s="6"/>
      <c r="AF12" s="6"/>
      <c r="AG12" s="6"/>
      <c r="AH12" s="6"/>
      <c r="AI12" s="6"/>
      <c r="AJ12" s="6"/>
      <c r="AK12" s="6"/>
      <c r="AL12" s="6"/>
      <c r="AM12" s="6"/>
      <c r="AN12" s="6"/>
      <c r="AO12" s="6"/>
      <c r="AP12" s="6"/>
    </row>
    <row r="13" spans="1:42" ht="15.75" customHeight="1" x14ac:dyDescent="0.15">
      <c r="A13" s="5" t="s">
        <v>105</v>
      </c>
      <c r="B13" s="6" t="s">
        <v>106</v>
      </c>
      <c r="C13" s="7">
        <v>36038059</v>
      </c>
      <c r="D13" s="8" t="s">
        <v>107</v>
      </c>
      <c r="E13" s="8" t="s">
        <v>21</v>
      </c>
      <c r="F13" s="7">
        <v>1</v>
      </c>
      <c r="G13" s="7">
        <v>1</v>
      </c>
      <c r="H13" s="7">
        <v>1</v>
      </c>
      <c r="I13" s="7">
        <v>0</v>
      </c>
      <c r="J13" s="7">
        <v>1</v>
      </c>
      <c r="K13" s="7">
        <v>1</v>
      </c>
      <c r="L13" s="7">
        <f t="shared" si="0"/>
        <v>5</v>
      </c>
      <c r="M13" s="5" t="s">
        <v>76</v>
      </c>
      <c r="N13" s="6" t="s">
        <v>108</v>
      </c>
      <c r="O13" s="6" t="s">
        <v>109</v>
      </c>
      <c r="P13" s="6" t="s">
        <v>110</v>
      </c>
      <c r="Q13" s="7">
        <v>2023</v>
      </c>
      <c r="R13" s="6" t="s">
        <v>26</v>
      </c>
      <c r="S13" s="6" t="s">
        <v>111</v>
      </c>
      <c r="T13" s="6"/>
      <c r="V13" s="6"/>
      <c r="W13" s="9"/>
      <c r="X13" s="9"/>
      <c r="Y13" s="9"/>
      <c r="Z13" s="6"/>
      <c r="AA13" s="6"/>
      <c r="AB13" s="6"/>
      <c r="AC13" s="6"/>
      <c r="AD13" s="6"/>
      <c r="AE13" s="6"/>
      <c r="AF13" s="6"/>
      <c r="AG13" s="6"/>
      <c r="AH13" s="6"/>
      <c r="AI13" s="6"/>
      <c r="AJ13" s="6"/>
      <c r="AK13" s="6"/>
      <c r="AL13" s="6"/>
      <c r="AM13" s="6"/>
      <c r="AN13" s="6"/>
      <c r="AO13" s="6"/>
      <c r="AP13" s="6"/>
    </row>
    <row r="14" spans="1:42" ht="15.75" customHeight="1" x14ac:dyDescent="0.15">
      <c r="A14" s="5" t="s">
        <v>112</v>
      </c>
      <c r="B14" s="6" t="s">
        <v>113</v>
      </c>
      <c r="C14" s="7">
        <v>32448203</v>
      </c>
      <c r="D14" s="8" t="s">
        <v>114</v>
      </c>
      <c r="E14" s="8" t="s">
        <v>21</v>
      </c>
      <c r="F14" s="7">
        <v>1</v>
      </c>
      <c r="G14" s="7">
        <v>1</v>
      </c>
      <c r="H14" s="7">
        <v>1</v>
      </c>
      <c r="I14" s="7">
        <v>0</v>
      </c>
      <c r="J14" s="7">
        <v>1</v>
      </c>
      <c r="K14" s="7">
        <v>1</v>
      </c>
      <c r="L14" s="7">
        <f t="shared" si="0"/>
        <v>5</v>
      </c>
      <c r="M14" s="5" t="s">
        <v>115</v>
      </c>
      <c r="N14" s="6" t="s">
        <v>116</v>
      </c>
      <c r="O14" s="6" t="s">
        <v>117</v>
      </c>
      <c r="P14" s="6" t="s">
        <v>118</v>
      </c>
      <c r="Q14" s="7">
        <v>2020</v>
      </c>
      <c r="R14" s="6" t="s">
        <v>119</v>
      </c>
      <c r="S14" s="6" t="s">
        <v>27</v>
      </c>
      <c r="T14" s="6"/>
      <c r="V14" s="6"/>
      <c r="W14" s="9"/>
      <c r="X14" s="9"/>
      <c r="Y14" s="9"/>
      <c r="Z14" s="6"/>
      <c r="AA14" s="6"/>
      <c r="AB14" s="6"/>
      <c r="AC14" s="6"/>
      <c r="AD14" s="6"/>
      <c r="AE14" s="6"/>
      <c r="AF14" s="6"/>
      <c r="AG14" s="6"/>
      <c r="AH14" s="6"/>
      <c r="AI14" s="6"/>
      <c r="AJ14" s="6"/>
      <c r="AK14" s="6"/>
      <c r="AL14" s="6"/>
      <c r="AM14" s="6"/>
      <c r="AN14" s="6"/>
      <c r="AO14" s="6"/>
      <c r="AP14" s="6"/>
    </row>
    <row r="15" spans="1:42" ht="15.75" customHeight="1" x14ac:dyDescent="0.15">
      <c r="A15" s="5" t="s">
        <v>120</v>
      </c>
      <c r="B15" s="6" t="s">
        <v>121</v>
      </c>
      <c r="C15" s="7">
        <v>30373565</v>
      </c>
      <c r="D15" s="8" t="s">
        <v>122</v>
      </c>
      <c r="E15" s="8" t="s">
        <v>21</v>
      </c>
      <c r="F15" s="7">
        <v>1</v>
      </c>
      <c r="G15" s="7">
        <v>1</v>
      </c>
      <c r="H15" s="7">
        <v>1</v>
      </c>
      <c r="I15" s="7">
        <v>1</v>
      </c>
      <c r="J15" s="7">
        <v>0</v>
      </c>
      <c r="K15" s="7">
        <v>1</v>
      </c>
      <c r="L15" s="7">
        <f t="shared" si="0"/>
        <v>5</v>
      </c>
      <c r="M15" s="5" t="s">
        <v>123</v>
      </c>
      <c r="N15" s="6" t="s">
        <v>124</v>
      </c>
      <c r="O15" s="6" t="s">
        <v>125</v>
      </c>
      <c r="P15" s="6" t="s">
        <v>126</v>
      </c>
      <c r="Q15" s="7">
        <v>2018</v>
      </c>
      <c r="R15" s="6" t="s">
        <v>80</v>
      </c>
      <c r="S15" s="6" t="s">
        <v>127</v>
      </c>
      <c r="T15" s="6"/>
      <c r="V15" s="6"/>
      <c r="W15" s="9"/>
      <c r="X15" s="9"/>
      <c r="Y15" s="9"/>
      <c r="Z15" s="6"/>
      <c r="AA15" s="6"/>
      <c r="AB15" s="6"/>
      <c r="AC15" s="6"/>
      <c r="AD15" s="6"/>
      <c r="AE15" s="6"/>
      <c r="AF15" s="6"/>
      <c r="AG15" s="6"/>
      <c r="AH15" s="6"/>
      <c r="AI15" s="6"/>
      <c r="AJ15" s="6"/>
      <c r="AK15" s="6"/>
      <c r="AL15" s="6"/>
      <c r="AM15" s="6"/>
      <c r="AN15" s="6"/>
      <c r="AO15" s="6"/>
      <c r="AP15" s="6"/>
    </row>
    <row r="16" spans="1:42" ht="15.75" customHeight="1" x14ac:dyDescent="0.15">
      <c r="A16" s="5" t="s">
        <v>128</v>
      </c>
      <c r="B16" s="6" t="s">
        <v>129</v>
      </c>
      <c r="C16" s="7">
        <v>32197607</v>
      </c>
      <c r="D16" s="8" t="s">
        <v>130</v>
      </c>
      <c r="E16" s="8" t="s">
        <v>21</v>
      </c>
      <c r="F16" s="7">
        <v>1</v>
      </c>
      <c r="G16" s="7">
        <v>1</v>
      </c>
      <c r="H16" s="7">
        <v>1</v>
      </c>
      <c r="I16" s="7">
        <v>1</v>
      </c>
      <c r="J16" s="7">
        <v>0</v>
      </c>
      <c r="K16" s="7">
        <v>1</v>
      </c>
      <c r="L16" s="7">
        <f t="shared" si="0"/>
        <v>5</v>
      </c>
      <c r="M16" s="5" t="s">
        <v>131</v>
      </c>
      <c r="N16" s="6" t="s">
        <v>132</v>
      </c>
      <c r="O16" s="6" t="s">
        <v>133</v>
      </c>
      <c r="P16" s="6" t="s">
        <v>134</v>
      </c>
      <c r="Q16" s="7">
        <v>2020</v>
      </c>
      <c r="R16" s="6" t="s">
        <v>135</v>
      </c>
      <c r="S16" s="6" t="s">
        <v>27</v>
      </c>
      <c r="T16" s="6"/>
      <c r="V16" s="6"/>
      <c r="W16" s="9"/>
      <c r="X16" s="9"/>
      <c r="Y16" s="9"/>
      <c r="Z16" s="6"/>
      <c r="AA16" s="6"/>
      <c r="AB16" s="6"/>
      <c r="AC16" s="6"/>
      <c r="AD16" s="6"/>
      <c r="AE16" s="6"/>
      <c r="AF16" s="6"/>
      <c r="AG16" s="6"/>
      <c r="AH16" s="6"/>
      <c r="AI16" s="6"/>
      <c r="AJ16" s="6"/>
      <c r="AK16" s="6"/>
      <c r="AL16" s="6"/>
      <c r="AM16" s="6"/>
      <c r="AN16" s="6"/>
      <c r="AO16" s="6"/>
      <c r="AP16" s="6"/>
    </row>
    <row r="17" spans="1:42" ht="15.75" customHeight="1" x14ac:dyDescent="0.15">
      <c r="A17" s="5" t="s">
        <v>136</v>
      </c>
      <c r="B17" s="6" t="s">
        <v>137</v>
      </c>
      <c r="C17" s="7">
        <v>25348116</v>
      </c>
      <c r="D17" s="8" t="s">
        <v>138</v>
      </c>
      <c r="E17" s="8" t="s">
        <v>21</v>
      </c>
      <c r="F17" s="7">
        <v>1</v>
      </c>
      <c r="G17" s="7">
        <v>1</v>
      </c>
      <c r="H17" s="7">
        <v>1</v>
      </c>
      <c r="I17" s="7">
        <v>1</v>
      </c>
      <c r="J17" s="7">
        <v>1</v>
      </c>
      <c r="K17" s="7">
        <v>1</v>
      </c>
      <c r="L17" s="7">
        <f t="shared" si="0"/>
        <v>6</v>
      </c>
      <c r="M17" s="5" t="s">
        <v>139</v>
      </c>
      <c r="N17" s="6" t="s">
        <v>140</v>
      </c>
      <c r="O17" s="6" t="s">
        <v>141</v>
      </c>
      <c r="P17" s="6" t="s">
        <v>142</v>
      </c>
      <c r="Q17" s="7">
        <v>2014</v>
      </c>
      <c r="R17" s="6" t="s">
        <v>80</v>
      </c>
      <c r="S17" s="6" t="s">
        <v>143</v>
      </c>
      <c r="T17" s="6"/>
      <c r="V17" s="6"/>
      <c r="W17" s="9"/>
      <c r="X17" s="9"/>
      <c r="Y17" s="9"/>
      <c r="Z17" s="6"/>
      <c r="AA17" s="6"/>
      <c r="AB17" s="6"/>
      <c r="AC17" s="6"/>
      <c r="AD17" s="6"/>
      <c r="AE17" s="6"/>
      <c r="AF17" s="6"/>
      <c r="AG17" s="6"/>
      <c r="AH17" s="6"/>
      <c r="AI17" s="6"/>
      <c r="AJ17" s="6"/>
      <c r="AK17" s="6"/>
      <c r="AL17" s="6"/>
      <c r="AM17" s="6"/>
      <c r="AN17" s="6"/>
      <c r="AO17" s="6"/>
      <c r="AP17" s="6"/>
    </row>
    <row r="18" spans="1:42" ht="15.75" customHeight="1" x14ac:dyDescent="0.15">
      <c r="A18" s="5" t="s">
        <v>144</v>
      </c>
      <c r="B18" s="6" t="s">
        <v>145</v>
      </c>
      <c r="C18" s="7">
        <v>26325683</v>
      </c>
      <c r="D18" s="8" t="s">
        <v>146</v>
      </c>
      <c r="E18" s="8" t="s">
        <v>21</v>
      </c>
      <c r="F18" s="7">
        <v>1</v>
      </c>
      <c r="G18" s="7">
        <v>1</v>
      </c>
      <c r="H18" s="7">
        <v>1</v>
      </c>
      <c r="I18" s="7">
        <v>1</v>
      </c>
      <c r="J18" s="7">
        <v>1</v>
      </c>
      <c r="K18" s="7">
        <v>1</v>
      </c>
      <c r="L18" s="7">
        <f t="shared" si="0"/>
        <v>6</v>
      </c>
      <c r="M18" s="5" t="s">
        <v>139</v>
      </c>
      <c r="N18" s="6" t="s">
        <v>147</v>
      </c>
      <c r="O18" s="6" t="s">
        <v>148</v>
      </c>
      <c r="P18" s="6" t="s">
        <v>149</v>
      </c>
      <c r="Q18" s="7">
        <v>2015</v>
      </c>
      <c r="R18" s="6" t="s">
        <v>150</v>
      </c>
      <c r="S18" s="6" t="s">
        <v>81</v>
      </c>
      <c r="T18" s="6"/>
      <c r="V18" s="6"/>
      <c r="W18" s="9"/>
      <c r="X18" s="9"/>
      <c r="Y18" s="9"/>
      <c r="Z18" s="6"/>
      <c r="AA18" s="6"/>
      <c r="AB18" s="6"/>
      <c r="AC18" s="6"/>
      <c r="AD18" s="6"/>
      <c r="AE18" s="6"/>
      <c r="AF18" s="6"/>
      <c r="AG18" s="6"/>
      <c r="AH18" s="6"/>
      <c r="AI18" s="6"/>
      <c r="AJ18" s="6"/>
      <c r="AK18" s="6"/>
      <c r="AL18" s="6"/>
      <c r="AM18" s="6"/>
      <c r="AN18" s="6"/>
      <c r="AO18" s="6"/>
      <c r="AP18" s="6"/>
    </row>
    <row r="19" spans="1:42" ht="15.75" customHeight="1" x14ac:dyDescent="0.15">
      <c r="A19" s="5" t="s">
        <v>151</v>
      </c>
      <c r="B19" s="6" t="s">
        <v>152</v>
      </c>
      <c r="C19" s="7">
        <v>34158055</v>
      </c>
      <c r="D19" s="8" t="s">
        <v>153</v>
      </c>
      <c r="E19" s="8" t="s">
        <v>21</v>
      </c>
      <c r="F19" s="7">
        <v>1</v>
      </c>
      <c r="G19" s="7">
        <v>1</v>
      </c>
      <c r="H19" s="7">
        <v>1</v>
      </c>
      <c r="I19" s="7">
        <v>1</v>
      </c>
      <c r="J19" s="7">
        <v>1</v>
      </c>
      <c r="K19" s="7">
        <v>1</v>
      </c>
      <c r="L19" s="7">
        <f t="shared" si="0"/>
        <v>6</v>
      </c>
      <c r="M19" s="5" t="s">
        <v>139</v>
      </c>
      <c r="N19" s="6" t="s">
        <v>154</v>
      </c>
      <c r="O19" s="6" t="s">
        <v>155</v>
      </c>
      <c r="P19" s="6" t="s">
        <v>156</v>
      </c>
      <c r="Q19" s="7">
        <v>2021</v>
      </c>
      <c r="R19" s="6" t="s">
        <v>88</v>
      </c>
      <c r="S19" s="6" t="s">
        <v>27</v>
      </c>
      <c r="T19" s="6"/>
      <c r="V19" s="6"/>
      <c r="W19" s="9"/>
      <c r="X19" s="9"/>
      <c r="Y19" s="9"/>
      <c r="Z19" s="6"/>
      <c r="AA19" s="6"/>
      <c r="AB19" s="6"/>
      <c r="AC19" s="6"/>
      <c r="AD19" s="6"/>
      <c r="AE19" s="6"/>
      <c r="AF19" s="6"/>
      <c r="AG19" s="6"/>
      <c r="AH19" s="6"/>
      <c r="AI19" s="6"/>
      <c r="AJ19" s="6"/>
      <c r="AK19" s="6"/>
      <c r="AL19" s="6"/>
      <c r="AM19" s="6"/>
      <c r="AN19" s="6"/>
      <c r="AO19" s="6"/>
      <c r="AP19" s="6"/>
    </row>
    <row r="20" spans="1:42" ht="15.75" customHeight="1" x14ac:dyDescent="0.15">
      <c r="A20" s="5" t="s">
        <v>157</v>
      </c>
      <c r="B20" s="6" t="s">
        <v>158</v>
      </c>
      <c r="C20" s="7">
        <v>31539706</v>
      </c>
      <c r="D20" s="8" t="s">
        <v>159</v>
      </c>
      <c r="E20" s="8" t="s">
        <v>21</v>
      </c>
      <c r="F20" s="7">
        <v>1</v>
      </c>
      <c r="G20" s="7">
        <v>1</v>
      </c>
      <c r="H20" s="7">
        <v>1</v>
      </c>
      <c r="I20" s="7">
        <v>1</v>
      </c>
      <c r="J20" s="7">
        <v>1</v>
      </c>
      <c r="K20" s="7">
        <v>1</v>
      </c>
      <c r="L20" s="7">
        <f t="shared" si="0"/>
        <v>6</v>
      </c>
      <c r="M20" s="5" t="s">
        <v>160</v>
      </c>
      <c r="N20" s="6" t="s">
        <v>161</v>
      </c>
      <c r="O20" s="6" t="s">
        <v>162</v>
      </c>
      <c r="P20" s="6" t="s">
        <v>163</v>
      </c>
      <c r="Q20" s="7">
        <v>2019</v>
      </c>
      <c r="R20" s="6" t="s">
        <v>150</v>
      </c>
      <c r="S20" s="6" t="s">
        <v>164</v>
      </c>
      <c r="T20" s="6"/>
      <c r="V20" s="6"/>
      <c r="W20" s="9"/>
      <c r="X20" s="9"/>
      <c r="Y20" s="9"/>
      <c r="Z20" s="6"/>
      <c r="AA20" s="6"/>
      <c r="AB20" s="6"/>
      <c r="AC20" s="6"/>
      <c r="AD20" s="6"/>
      <c r="AE20" s="6"/>
      <c r="AF20" s="6"/>
      <c r="AG20" s="6"/>
      <c r="AH20" s="6"/>
      <c r="AI20" s="6"/>
      <c r="AJ20" s="6"/>
      <c r="AK20" s="6"/>
      <c r="AL20" s="6"/>
      <c r="AM20" s="6"/>
      <c r="AN20" s="6"/>
      <c r="AO20" s="6"/>
      <c r="AP20" s="6"/>
    </row>
    <row r="21" spans="1:42" ht="15.75" customHeight="1" x14ac:dyDescent="0.15">
      <c r="A21" s="5" t="s">
        <v>165</v>
      </c>
      <c r="B21" s="6" t="s">
        <v>166</v>
      </c>
      <c r="C21" s="7">
        <v>36207750</v>
      </c>
      <c r="D21" s="8" t="s">
        <v>167</v>
      </c>
      <c r="E21" s="8" t="s">
        <v>21</v>
      </c>
      <c r="F21" s="7">
        <v>1</v>
      </c>
      <c r="G21" s="7">
        <v>1</v>
      </c>
      <c r="H21" s="7">
        <v>1</v>
      </c>
      <c r="I21" s="7">
        <v>1</v>
      </c>
      <c r="J21" s="7">
        <v>0</v>
      </c>
      <c r="K21" s="7">
        <v>1</v>
      </c>
      <c r="L21" s="7">
        <f t="shared" si="0"/>
        <v>5</v>
      </c>
      <c r="M21" s="5" t="s">
        <v>160</v>
      </c>
      <c r="N21" s="6" t="s">
        <v>168</v>
      </c>
      <c r="O21" s="6" t="s">
        <v>169</v>
      </c>
      <c r="P21" s="6" t="s">
        <v>170</v>
      </c>
      <c r="Q21" s="7">
        <v>2022</v>
      </c>
      <c r="R21" s="6" t="s">
        <v>80</v>
      </c>
      <c r="S21" s="6" t="s">
        <v>27</v>
      </c>
      <c r="T21" s="6"/>
      <c r="V21" s="6"/>
      <c r="W21" s="9"/>
      <c r="X21" s="9"/>
      <c r="Y21" s="9"/>
      <c r="Z21" s="6"/>
      <c r="AA21" s="6"/>
      <c r="AB21" s="6"/>
      <c r="AC21" s="6"/>
      <c r="AD21" s="6"/>
      <c r="AE21" s="6"/>
      <c r="AF21" s="6"/>
      <c r="AG21" s="6"/>
      <c r="AH21" s="6"/>
      <c r="AI21" s="6"/>
      <c r="AJ21" s="6"/>
      <c r="AK21" s="6"/>
      <c r="AL21" s="6"/>
      <c r="AM21" s="6"/>
      <c r="AN21" s="6"/>
      <c r="AO21" s="6"/>
      <c r="AP21" s="6"/>
    </row>
    <row r="22" spans="1:42" ht="15.75" customHeight="1" x14ac:dyDescent="0.15">
      <c r="A22" s="5" t="s">
        <v>171</v>
      </c>
      <c r="B22" s="6" t="s">
        <v>172</v>
      </c>
      <c r="C22" s="7">
        <v>37270589</v>
      </c>
      <c r="D22" s="8" t="s">
        <v>173</v>
      </c>
      <c r="E22" s="8" t="s">
        <v>21</v>
      </c>
      <c r="F22" s="7">
        <v>1</v>
      </c>
      <c r="G22" s="7">
        <v>1</v>
      </c>
      <c r="H22" s="7">
        <v>1</v>
      </c>
      <c r="I22" s="7">
        <v>1</v>
      </c>
      <c r="J22" s="7">
        <v>1</v>
      </c>
      <c r="K22" s="7">
        <v>1</v>
      </c>
      <c r="L22" s="7">
        <f t="shared" si="0"/>
        <v>6</v>
      </c>
      <c r="M22" s="5" t="s">
        <v>160</v>
      </c>
      <c r="N22" s="6" t="s">
        <v>174</v>
      </c>
      <c r="O22" s="6" t="s">
        <v>175</v>
      </c>
      <c r="P22" s="6" t="s">
        <v>176</v>
      </c>
      <c r="Q22" s="7">
        <v>2023</v>
      </c>
      <c r="R22" s="6" t="s">
        <v>88</v>
      </c>
      <c r="S22" s="6" t="s">
        <v>27</v>
      </c>
      <c r="T22" s="6"/>
      <c r="V22" s="6"/>
      <c r="W22" s="9"/>
      <c r="X22" s="9"/>
      <c r="Y22" s="9"/>
      <c r="Z22" s="6"/>
      <c r="AA22" s="6"/>
      <c r="AB22" s="6"/>
      <c r="AC22" s="6"/>
      <c r="AD22" s="6"/>
      <c r="AE22" s="6"/>
      <c r="AF22" s="6"/>
      <c r="AG22" s="6"/>
      <c r="AH22" s="6"/>
      <c r="AI22" s="6"/>
      <c r="AJ22" s="6"/>
      <c r="AK22" s="6"/>
      <c r="AL22" s="6"/>
      <c r="AM22" s="6"/>
      <c r="AN22" s="6"/>
      <c r="AO22" s="6"/>
      <c r="AP22" s="6"/>
    </row>
    <row r="23" spans="1:42" ht="15.75" customHeight="1" x14ac:dyDescent="0.15">
      <c r="A23" s="5" t="s">
        <v>177</v>
      </c>
      <c r="B23" s="6" t="s">
        <v>178</v>
      </c>
      <c r="C23" s="7">
        <v>38339833</v>
      </c>
      <c r="D23" s="8" t="s">
        <v>179</v>
      </c>
      <c r="E23" s="8" t="s">
        <v>21</v>
      </c>
      <c r="F23" s="7">
        <v>1</v>
      </c>
      <c r="G23" s="7">
        <v>1</v>
      </c>
      <c r="H23" s="7">
        <v>1</v>
      </c>
      <c r="I23" s="7">
        <v>1</v>
      </c>
      <c r="J23" s="7">
        <v>1</v>
      </c>
      <c r="K23" s="7">
        <v>1</v>
      </c>
      <c r="L23" s="7">
        <f t="shared" si="0"/>
        <v>6</v>
      </c>
      <c r="M23" s="5" t="s">
        <v>160</v>
      </c>
      <c r="N23" s="6" t="s">
        <v>180</v>
      </c>
      <c r="O23" s="6" t="s">
        <v>181</v>
      </c>
      <c r="P23" s="6" t="s">
        <v>182</v>
      </c>
      <c r="Q23" s="7">
        <v>2024</v>
      </c>
      <c r="R23" s="6" t="s">
        <v>135</v>
      </c>
      <c r="S23" s="6" t="s">
        <v>183</v>
      </c>
      <c r="T23" s="6"/>
      <c r="V23" s="6"/>
      <c r="W23" s="9"/>
      <c r="X23" s="9"/>
      <c r="Y23" s="9"/>
      <c r="Z23" s="6"/>
      <c r="AA23" s="6"/>
      <c r="AB23" s="6"/>
      <c r="AC23" s="6"/>
      <c r="AD23" s="6"/>
      <c r="AE23" s="6"/>
      <c r="AF23" s="6"/>
      <c r="AG23" s="6"/>
      <c r="AH23" s="6"/>
      <c r="AI23" s="6"/>
      <c r="AJ23" s="6"/>
      <c r="AK23" s="6"/>
      <c r="AL23" s="6"/>
      <c r="AM23" s="6"/>
      <c r="AN23" s="6"/>
      <c r="AO23" s="6"/>
      <c r="AP23" s="6"/>
    </row>
    <row r="24" spans="1:42" ht="15.75" customHeight="1" x14ac:dyDescent="0.15">
      <c r="A24" s="5" t="s">
        <v>184</v>
      </c>
      <c r="B24" s="6" t="s">
        <v>185</v>
      </c>
      <c r="C24" s="7">
        <v>30214253</v>
      </c>
      <c r="D24" s="8" t="s">
        <v>186</v>
      </c>
      <c r="E24" s="8" t="s">
        <v>21</v>
      </c>
      <c r="F24" s="7">
        <v>1</v>
      </c>
      <c r="G24" s="7">
        <v>1</v>
      </c>
      <c r="H24" s="7">
        <v>1</v>
      </c>
      <c r="I24" s="7">
        <v>0</v>
      </c>
      <c r="J24" s="7">
        <v>1</v>
      </c>
      <c r="K24" s="7">
        <v>1</v>
      </c>
      <c r="L24" s="7">
        <f t="shared" si="0"/>
        <v>5</v>
      </c>
      <c r="M24" s="5" t="s">
        <v>187</v>
      </c>
      <c r="N24" s="6" t="s">
        <v>188</v>
      </c>
      <c r="O24" s="6" t="s">
        <v>189</v>
      </c>
      <c r="P24" s="6" t="s">
        <v>190</v>
      </c>
      <c r="Q24" s="7">
        <v>2018</v>
      </c>
      <c r="R24" s="6" t="s">
        <v>96</v>
      </c>
      <c r="S24" s="6" t="s">
        <v>191</v>
      </c>
      <c r="T24" s="6"/>
      <c r="V24" s="6"/>
      <c r="W24" s="9"/>
      <c r="X24" s="9"/>
      <c r="Y24" s="9"/>
      <c r="Z24" s="6"/>
      <c r="AA24" s="6"/>
      <c r="AB24" s="6"/>
      <c r="AC24" s="6"/>
      <c r="AD24" s="6"/>
      <c r="AE24" s="6"/>
      <c r="AF24" s="6"/>
      <c r="AG24" s="6"/>
      <c r="AH24" s="6"/>
      <c r="AI24" s="6"/>
      <c r="AJ24" s="6"/>
      <c r="AK24" s="6"/>
      <c r="AL24" s="6"/>
      <c r="AM24" s="6"/>
      <c r="AN24" s="6"/>
      <c r="AO24" s="6"/>
      <c r="AP24" s="6"/>
    </row>
    <row r="25" spans="1:42" ht="15.75" customHeight="1" x14ac:dyDescent="0.15">
      <c r="A25" s="5" t="s">
        <v>192</v>
      </c>
      <c r="B25" s="6" t="s">
        <v>193</v>
      </c>
      <c r="C25" s="7">
        <v>31278305</v>
      </c>
      <c r="D25" s="8" t="s">
        <v>194</v>
      </c>
      <c r="E25" s="8" t="s">
        <v>21</v>
      </c>
      <c r="F25" s="7">
        <v>1</v>
      </c>
      <c r="G25" s="7">
        <v>1</v>
      </c>
      <c r="H25" s="7">
        <v>1</v>
      </c>
      <c r="I25" s="7">
        <v>1</v>
      </c>
      <c r="J25" s="7">
        <v>1</v>
      </c>
      <c r="K25" s="7">
        <v>1</v>
      </c>
      <c r="L25" s="7">
        <f t="shared" si="0"/>
        <v>6</v>
      </c>
      <c r="M25" s="5" t="s">
        <v>187</v>
      </c>
      <c r="N25" s="6" t="s">
        <v>195</v>
      </c>
      <c r="O25" s="6" t="s">
        <v>196</v>
      </c>
      <c r="P25" s="6" t="s">
        <v>197</v>
      </c>
      <c r="Q25" s="7">
        <v>2019</v>
      </c>
      <c r="R25" s="6" t="s">
        <v>42</v>
      </c>
      <c r="S25" s="6" t="s">
        <v>198</v>
      </c>
      <c r="T25" s="6"/>
      <c r="V25" s="6"/>
      <c r="W25" s="9"/>
      <c r="X25" s="9"/>
      <c r="Y25" s="9"/>
      <c r="Z25" s="6"/>
      <c r="AA25" s="6"/>
      <c r="AB25" s="6"/>
      <c r="AC25" s="6"/>
      <c r="AD25" s="6"/>
      <c r="AE25" s="6"/>
      <c r="AF25" s="6"/>
      <c r="AG25" s="6"/>
      <c r="AH25" s="6"/>
      <c r="AI25" s="6"/>
      <c r="AJ25" s="6"/>
      <c r="AK25" s="6"/>
      <c r="AL25" s="6"/>
      <c r="AM25" s="6"/>
      <c r="AN25" s="6"/>
      <c r="AO25" s="6"/>
      <c r="AP25" s="6"/>
    </row>
    <row r="26" spans="1:42" ht="15.75" customHeight="1" x14ac:dyDescent="0.15">
      <c r="A26" s="5" t="s">
        <v>199</v>
      </c>
      <c r="B26" s="6" t="s">
        <v>200</v>
      </c>
      <c r="C26" s="7">
        <v>31578142</v>
      </c>
      <c r="D26" s="8" t="s">
        <v>201</v>
      </c>
      <c r="E26" s="8" t="s">
        <v>21</v>
      </c>
      <c r="F26" s="7">
        <v>1</v>
      </c>
      <c r="G26" s="7">
        <v>1</v>
      </c>
      <c r="H26" s="7">
        <v>1</v>
      </c>
      <c r="I26" s="7">
        <v>1</v>
      </c>
      <c r="J26" s="7">
        <v>1</v>
      </c>
      <c r="K26" s="7">
        <v>1</v>
      </c>
      <c r="L26" s="7">
        <f t="shared" si="0"/>
        <v>6</v>
      </c>
      <c r="M26" s="5" t="s">
        <v>187</v>
      </c>
      <c r="N26" s="6" t="s">
        <v>202</v>
      </c>
      <c r="O26" s="6" t="s">
        <v>203</v>
      </c>
      <c r="P26" s="6" t="s">
        <v>204</v>
      </c>
      <c r="Q26" s="7">
        <v>2019</v>
      </c>
      <c r="R26" s="6" t="s">
        <v>80</v>
      </c>
      <c r="S26" s="6" t="s">
        <v>27</v>
      </c>
      <c r="T26" s="6"/>
      <c r="V26" s="6"/>
      <c r="W26" s="9"/>
      <c r="X26" s="9"/>
      <c r="Y26" s="9"/>
      <c r="Z26" s="6"/>
      <c r="AA26" s="6"/>
      <c r="AB26" s="6"/>
      <c r="AC26" s="6"/>
      <c r="AD26" s="6"/>
      <c r="AE26" s="6"/>
      <c r="AF26" s="6"/>
      <c r="AG26" s="6"/>
      <c r="AH26" s="6"/>
      <c r="AI26" s="6"/>
      <c r="AJ26" s="6"/>
      <c r="AK26" s="6"/>
      <c r="AL26" s="6"/>
      <c r="AM26" s="6"/>
      <c r="AN26" s="6"/>
      <c r="AO26" s="6"/>
      <c r="AP26" s="6"/>
    </row>
    <row r="27" spans="1:42" ht="15.75" customHeight="1" x14ac:dyDescent="0.15">
      <c r="A27" s="5" t="s">
        <v>205</v>
      </c>
      <c r="B27" s="6" t="s">
        <v>206</v>
      </c>
      <c r="C27" s="7">
        <v>31842893</v>
      </c>
      <c r="D27" s="8" t="s">
        <v>207</v>
      </c>
      <c r="E27" s="8" t="s">
        <v>21</v>
      </c>
      <c r="F27" s="7">
        <v>1</v>
      </c>
      <c r="G27" s="7">
        <v>1</v>
      </c>
      <c r="H27" s="7">
        <v>0</v>
      </c>
      <c r="I27" s="7">
        <v>1</v>
      </c>
      <c r="J27" s="7">
        <v>0</v>
      </c>
      <c r="K27" s="7">
        <v>1</v>
      </c>
      <c r="L27" s="7">
        <f t="shared" si="0"/>
        <v>4</v>
      </c>
      <c r="M27" s="5" t="s">
        <v>187</v>
      </c>
      <c r="N27" s="6" t="s">
        <v>208</v>
      </c>
      <c r="O27" s="6" t="s">
        <v>209</v>
      </c>
      <c r="P27" s="6" t="s">
        <v>210</v>
      </c>
      <c r="Q27" s="7">
        <v>2019</v>
      </c>
      <c r="R27" s="6" t="s">
        <v>150</v>
      </c>
      <c r="S27" s="6" t="s">
        <v>27</v>
      </c>
      <c r="T27" s="6"/>
      <c r="V27" s="6"/>
      <c r="W27" s="9"/>
      <c r="X27" s="9"/>
      <c r="Y27" s="9"/>
      <c r="Z27" s="6"/>
      <c r="AA27" s="6"/>
      <c r="AB27" s="6"/>
      <c r="AC27" s="6"/>
      <c r="AD27" s="6"/>
      <c r="AE27" s="6"/>
      <c r="AF27" s="6"/>
      <c r="AG27" s="6"/>
      <c r="AH27" s="6"/>
      <c r="AI27" s="6"/>
      <c r="AJ27" s="6"/>
      <c r="AK27" s="6"/>
      <c r="AL27" s="6"/>
      <c r="AM27" s="6"/>
      <c r="AN27" s="6"/>
      <c r="AO27" s="6"/>
      <c r="AP27" s="6"/>
    </row>
    <row r="28" spans="1:42" ht="15.75" customHeight="1" x14ac:dyDescent="0.15">
      <c r="A28" s="5" t="s">
        <v>211</v>
      </c>
      <c r="B28" s="6" t="s">
        <v>212</v>
      </c>
      <c r="C28" s="7">
        <v>34335033</v>
      </c>
      <c r="D28" s="8" t="s">
        <v>213</v>
      </c>
      <c r="E28" s="8" t="s">
        <v>21</v>
      </c>
      <c r="F28" s="7">
        <v>1</v>
      </c>
      <c r="G28" s="7">
        <v>1</v>
      </c>
      <c r="H28" s="7">
        <v>1</v>
      </c>
      <c r="I28" s="7">
        <v>1</v>
      </c>
      <c r="J28" s="7">
        <v>1</v>
      </c>
      <c r="K28" s="7">
        <v>1</v>
      </c>
      <c r="L28" s="7">
        <f t="shared" si="0"/>
        <v>6</v>
      </c>
      <c r="M28" s="5" t="s">
        <v>187</v>
      </c>
      <c r="N28" s="6" t="s">
        <v>214</v>
      </c>
      <c r="O28" s="6" t="s">
        <v>215</v>
      </c>
      <c r="P28" s="6" t="s">
        <v>216</v>
      </c>
      <c r="Q28" s="7">
        <v>2021</v>
      </c>
      <c r="R28" s="6" t="s">
        <v>42</v>
      </c>
      <c r="S28" s="6" t="s">
        <v>191</v>
      </c>
      <c r="T28" s="6"/>
      <c r="V28" s="6"/>
      <c r="W28" s="9"/>
      <c r="X28" s="9"/>
      <c r="Y28" s="9"/>
      <c r="Z28" s="6"/>
      <c r="AA28" s="6"/>
      <c r="AB28" s="6"/>
      <c r="AC28" s="6"/>
      <c r="AD28" s="6"/>
      <c r="AE28" s="6"/>
      <c r="AF28" s="6"/>
      <c r="AG28" s="6"/>
      <c r="AH28" s="6"/>
      <c r="AI28" s="6"/>
      <c r="AJ28" s="6"/>
      <c r="AK28" s="6"/>
      <c r="AL28" s="6"/>
      <c r="AM28" s="6"/>
      <c r="AN28" s="6"/>
      <c r="AO28" s="6"/>
      <c r="AP28" s="6"/>
    </row>
    <row r="29" spans="1:42" ht="15.75" customHeight="1" x14ac:dyDescent="0.15">
      <c r="A29" s="5" t="s">
        <v>217</v>
      </c>
      <c r="B29" s="6" t="s">
        <v>218</v>
      </c>
      <c r="C29" s="7">
        <v>32459360</v>
      </c>
      <c r="D29" s="8" t="s">
        <v>219</v>
      </c>
      <c r="E29" s="8" t="s">
        <v>21</v>
      </c>
      <c r="F29" s="7">
        <v>1</v>
      </c>
      <c r="G29" s="7">
        <v>1</v>
      </c>
      <c r="H29" s="7">
        <v>1</v>
      </c>
      <c r="I29" s="7">
        <v>1</v>
      </c>
      <c r="J29" s="7">
        <v>0</v>
      </c>
      <c r="K29" s="7">
        <v>1</v>
      </c>
      <c r="L29" s="7">
        <f t="shared" si="0"/>
        <v>5</v>
      </c>
      <c r="M29" s="5" t="s">
        <v>220</v>
      </c>
      <c r="N29" s="6" t="s">
        <v>221</v>
      </c>
      <c r="O29" s="6" t="s">
        <v>222</v>
      </c>
      <c r="P29" s="6" t="s">
        <v>223</v>
      </c>
      <c r="Q29" s="7">
        <v>2020</v>
      </c>
      <c r="R29" s="6" t="s">
        <v>80</v>
      </c>
      <c r="S29" s="6" t="s">
        <v>224</v>
      </c>
      <c r="T29" s="6"/>
      <c r="V29" s="6"/>
      <c r="W29" s="9"/>
      <c r="X29" s="9"/>
      <c r="Y29" s="9"/>
      <c r="Z29" s="6"/>
      <c r="AA29" s="6"/>
      <c r="AB29" s="6"/>
      <c r="AC29" s="6"/>
      <c r="AD29" s="6"/>
      <c r="AE29" s="6"/>
      <c r="AF29" s="6"/>
      <c r="AG29" s="6"/>
      <c r="AH29" s="6"/>
      <c r="AI29" s="6"/>
      <c r="AJ29" s="6"/>
      <c r="AK29" s="6"/>
      <c r="AL29" s="6"/>
      <c r="AM29" s="6"/>
      <c r="AN29" s="6"/>
      <c r="AO29" s="6"/>
      <c r="AP29" s="6"/>
    </row>
    <row r="30" spans="1:42" ht="15.75" customHeight="1" x14ac:dyDescent="0.15">
      <c r="A30" s="5" t="s">
        <v>225</v>
      </c>
      <c r="B30" s="6" t="s">
        <v>226</v>
      </c>
      <c r="C30" s="7">
        <v>32698879</v>
      </c>
      <c r="D30" s="8" t="s">
        <v>227</v>
      </c>
      <c r="E30" s="10" t="s">
        <v>228</v>
      </c>
      <c r="F30" s="7">
        <v>1</v>
      </c>
      <c r="G30" s="7">
        <v>1</v>
      </c>
      <c r="H30" s="7">
        <v>0</v>
      </c>
      <c r="I30" s="7">
        <v>1</v>
      </c>
      <c r="J30" s="7">
        <v>0</v>
      </c>
      <c r="K30" s="7">
        <v>1</v>
      </c>
      <c r="L30" s="7">
        <f t="shared" si="0"/>
        <v>4</v>
      </c>
      <c r="M30" s="5" t="s">
        <v>220</v>
      </c>
      <c r="N30" s="6" t="s">
        <v>229</v>
      </c>
      <c r="O30" s="6" t="s">
        <v>230</v>
      </c>
      <c r="P30" s="6" t="s">
        <v>231</v>
      </c>
      <c r="Q30" s="7">
        <v>2020</v>
      </c>
      <c r="R30" s="6" t="s">
        <v>42</v>
      </c>
      <c r="S30" s="6" t="s">
        <v>127</v>
      </c>
      <c r="T30" s="6"/>
      <c r="V30" s="6"/>
      <c r="W30" s="9"/>
      <c r="X30" s="9"/>
      <c r="Y30" s="9"/>
      <c r="Z30" s="6"/>
      <c r="AA30" s="6"/>
      <c r="AB30" s="6"/>
      <c r="AC30" s="6"/>
      <c r="AD30" s="6"/>
      <c r="AE30" s="6"/>
      <c r="AF30" s="6"/>
      <c r="AG30" s="6"/>
      <c r="AH30" s="6"/>
      <c r="AI30" s="6"/>
      <c r="AJ30" s="6"/>
      <c r="AK30" s="6"/>
      <c r="AL30" s="6"/>
      <c r="AM30" s="6"/>
      <c r="AN30" s="6"/>
      <c r="AO30" s="6"/>
      <c r="AP30" s="6"/>
    </row>
    <row r="31" spans="1:42" ht="15.75" customHeight="1" x14ac:dyDescent="0.15">
      <c r="A31" s="5" t="s">
        <v>232</v>
      </c>
      <c r="B31" s="6" t="s">
        <v>233</v>
      </c>
      <c r="C31" s="7">
        <v>33284800</v>
      </c>
      <c r="D31" s="8" t="s">
        <v>234</v>
      </c>
      <c r="E31" s="10" t="s">
        <v>228</v>
      </c>
      <c r="F31" s="7">
        <v>1</v>
      </c>
      <c r="G31" s="7">
        <v>1</v>
      </c>
      <c r="H31" s="7">
        <v>1</v>
      </c>
      <c r="I31" s="7">
        <v>1</v>
      </c>
      <c r="J31" s="7">
        <v>1</v>
      </c>
      <c r="K31" s="7">
        <v>1</v>
      </c>
      <c r="L31" s="7">
        <f t="shared" si="0"/>
        <v>6</v>
      </c>
      <c r="M31" s="5" t="s">
        <v>220</v>
      </c>
      <c r="N31" s="6" t="s">
        <v>235</v>
      </c>
      <c r="O31" s="6" t="s">
        <v>236</v>
      </c>
      <c r="P31" s="6" t="s">
        <v>237</v>
      </c>
      <c r="Q31" s="7">
        <v>2020</v>
      </c>
      <c r="R31" s="6" t="s">
        <v>150</v>
      </c>
      <c r="S31" s="6" t="s">
        <v>97</v>
      </c>
      <c r="T31" s="6"/>
      <c r="V31" s="6"/>
      <c r="W31" s="9"/>
      <c r="X31" s="9"/>
      <c r="Y31" s="9"/>
      <c r="Z31" s="6"/>
      <c r="AA31" s="6"/>
      <c r="AB31" s="6"/>
      <c r="AC31" s="6"/>
      <c r="AD31" s="6"/>
      <c r="AE31" s="6"/>
      <c r="AF31" s="6"/>
      <c r="AG31" s="6"/>
      <c r="AH31" s="6"/>
      <c r="AI31" s="6"/>
      <c r="AJ31" s="6"/>
      <c r="AK31" s="6"/>
      <c r="AL31" s="6"/>
      <c r="AM31" s="6"/>
      <c r="AN31" s="6"/>
      <c r="AO31" s="6"/>
      <c r="AP31" s="6"/>
    </row>
    <row r="32" spans="1:42" ht="15.75" customHeight="1" x14ac:dyDescent="0.15">
      <c r="A32" s="5" t="s">
        <v>238</v>
      </c>
      <c r="B32" s="6" t="s">
        <v>239</v>
      </c>
      <c r="C32" s="7">
        <v>34823528</v>
      </c>
      <c r="D32" s="8" t="s">
        <v>240</v>
      </c>
      <c r="E32" s="10" t="s">
        <v>228</v>
      </c>
      <c r="F32" s="7">
        <v>0</v>
      </c>
      <c r="G32" s="7">
        <v>1</v>
      </c>
      <c r="H32" s="7">
        <v>1</v>
      </c>
      <c r="I32" s="7">
        <v>0</v>
      </c>
      <c r="J32" s="7">
        <v>1</v>
      </c>
      <c r="K32" s="7">
        <v>1</v>
      </c>
      <c r="L32" s="7">
        <f t="shared" si="0"/>
        <v>4</v>
      </c>
      <c r="M32" s="5" t="s">
        <v>220</v>
      </c>
      <c r="N32" s="6" t="s">
        <v>241</v>
      </c>
      <c r="O32" s="6" t="s">
        <v>242</v>
      </c>
      <c r="P32" s="6" t="s">
        <v>243</v>
      </c>
      <c r="Q32" s="7">
        <v>2021</v>
      </c>
      <c r="R32" s="6" t="s">
        <v>59</v>
      </c>
      <c r="S32" s="6" t="s">
        <v>27</v>
      </c>
      <c r="T32" s="6"/>
      <c r="V32" s="6"/>
      <c r="W32" s="9"/>
      <c r="X32" s="9"/>
      <c r="Y32" s="9"/>
      <c r="Z32" s="6"/>
      <c r="AA32" s="6"/>
      <c r="AB32" s="6"/>
      <c r="AC32" s="6"/>
      <c r="AD32" s="6"/>
      <c r="AE32" s="6"/>
      <c r="AF32" s="6"/>
      <c r="AG32" s="6"/>
      <c r="AH32" s="6"/>
      <c r="AI32" s="6"/>
      <c r="AJ32" s="6"/>
      <c r="AK32" s="6"/>
      <c r="AL32" s="6"/>
      <c r="AM32" s="6"/>
      <c r="AN32" s="6"/>
      <c r="AO32" s="6"/>
      <c r="AP32" s="6"/>
    </row>
    <row r="33" spans="1:42" ht="15.75" customHeight="1" x14ac:dyDescent="0.15">
      <c r="A33" s="5" t="s">
        <v>244</v>
      </c>
      <c r="B33" s="6" t="s">
        <v>245</v>
      </c>
      <c r="C33" s="7">
        <v>37974079</v>
      </c>
      <c r="D33" s="8" t="s">
        <v>246</v>
      </c>
      <c r="E33" s="10" t="s">
        <v>228</v>
      </c>
      <c r="F33" s="7">
        <v>1</v>
      </c>
      <c r="G33" s="7">
        <v>1</v>
      </c>
      <c r="H33" s="7">
        <v>0</v>
      </c>
      <c r="I33" s="7">
        <v>1</v>
      </c>
      <c r="J33" s="7">
        <v>0</v>
      </c>
      <c r="K33" s="7">
        <v>1</v>
      </c>
      <c r="L33" s="7">
        <f t="shared" si="0"/>
        <v>4</v>
      </c>
      <c r="M33" s="5" t="s">
        <v>220</v>
      </c>
      <c r="N33" s="6" t="s">
        <v>247</v>
      </c>
      <c r="O33" s="6" t="s">
        <v>248</v>
      </c>
      <c r="P33" s="6" t="s">
        <v>249</v>
      </c>
      <c r="Q33" s="7">
        <v>2023</v>
      </c>
      <c r="R33" s="6" t="s">
        <v>59</v>
      </c>
      <c r="S33" s="6" t="s">
        <v>127</v>
      </c>
      <c r="T33" s="6"/>
      <c r="V33" s="6"/>
      <c r="W33" s="9"/>
      <c r="X33" s="9"/>
      <c r="Y33" s="9"/>
      <c r="Z33" s="6"/>
      <c r="AA33" s="6"/>
      <c r="AB33" s="6"/>
      <c r="AC33" s="6"/>
      <c r="AD33" s="6"/>
      <c r="AE33" s="6"/>
      <c r="AF33" s="6"/>
      <c r="AG33" s="6"/>
      <c r="AH33" s="6"/>
      <c r="AI33" s="6"/>
      <c r="AJ33" s="6"/>
      <c r="AK33" s="6"/>
      <c r="AL33" s="6"/>
      <c r="AM33" s="6"/>
      <c r="AN33" s="6"/>
      <c r="AO33" s="6"/>
      <c r="AP33" s="6"/>
    </row>
    <row r="34" spans="1:42" ht="15.75" customHeight="1" x14ac:dyDescent="0.15">
      <c r="A34" s="5" t="s">
        <v>250</v>
      </c>
      <c r="B34" s="6" t="s">
        <v>251</v>
      </c>
      <c r="C34" s="7">
        <v>37996707</v>
      </c>
      <c r="D34" s="8" t="s">
        <v>252</v>
      </c>
      <c r="E34" s="10" t="s">
        <v>228</v>
      </c>
      <c r="F34" s="7">
        <v>1</v>
      </c>
      <c r="G34" s="7">
        <v>1</v>
      </c>
      <c r="H34" s="7">
        <v>1</v>
      </c>
      <c r="I34" s="7">
        <v>1</v>
      </c>
      <c r="J34" s="7">
        <v>1</v>
      </c>
      <c r="K34" s="7">
        <v>1</v>
      </c>
      <c r="L34" s="7">
        <f t="shared" si="0"/>
        <v>6</v>
      </c>
      <c r="M34" s="5" t="s">
        <v>220</v>
      </c>
      <c r="N34" s="6" t="s">
        <v>253</v>
      </c>
      <c r="O34" s="6" t="s">
        <v>254</v>
      </c>
      <c r="P34" s="6" t="s">
        <v>255</v>
      </c>
      <c r="Q34" s="7">
        <v>2023</v>
      </c>
      <c r="R34" s="6" t="s">
        <v>150</v>
      </c>
      <c r="S34" s="6" t="s">
        <v>256</v>
      </c>
      <c r="T34" s="6"/>
      <c r="V34" s="6"/>
      <c r="W34" s="9"/>
      <c r="X34" s="9"/>
      <c r="Y34" s="9"/>
      <c r="Z34" s="6"/>
      <c r="AA34" s="6"/>
      <c r="AB34" s="6"/>
      <c r="AC34" s="6"/>
      <c r="AD34" s="6"/>
      <c r="AE34" s="6"/>
      <c r="AF34" s="6"/>
      <c r="AG34" s="6"/>
      <c r="AH34" s="6"/>
      <c r="AI34" s="6"/>
      <c r="AJ34" s="6"/>
      <c r="AK34" s="6"/>
      <c r="AL34" s="6"/>
      <c r="AM34" s="6"/>
      <c r="AN34" s="6"/>
      <c r="AO34" s="6"/>
      <c r="AP34" s="6"/>
    </row>
    <row r="35" spans="1:42" ht="15.75" customHeight="1" x14ac:dyDescent="0.15">
      <c r="A35" s="5" t="s">
        <v>257</v>
      </c>
      <c r="B35" s="6" t="s">
        <v>258</v>
      </c>
      <c r="C35" s="7">
        <v>32580771</v>
      </c>
      <c r="D35" s="8" t="s">
        <v>259</v>
      </c>
      <c r="E35" s="10" t="s">
        <v>228</v>
      </c>
      <c r="F35" s="7">
        <v>1</v>
      </c>
      <c r="G35" s="7">
        <v>1</v>
      </c>
      <c r="H35" s="7">
        <v>1</v>
      </c>
      <c r="I35" s="7">
        <v>1</v>
      </c>
      <c r="J35" s="7">
        <v>1</v>
      </c>
      <c r="K35" s="7">
        <v>1</v>
      </c>
      <c r="L35" s="7">
        <f t="shared" si="0"/>
        <v>6</v>
      </c>
      <c r="M35" s="5" t="s">
        <v>260</v>
      </c>
      <c r="N35" s="6" t="s">
        <v>261</v>
      </c>
      <c r="O35" s="6" t="s">
        <v>262</v>
      </c>
      <c r="P35" s="6" t="s">
        <v>263</v>
      </c>
      <c r="Q35" s="7">
        <v>2020</v>
      </c>
      <c r="R35" s="6" t="s">
        <v>88</v>
      </c>
      <c r="S35" s="6" t="s">
        <v>27</v>
      </c>
      <c r="T35" s="6"/>
      <c r="V35" s="6"/>
      <c r="W35" s="9"/>
      <c r="X35" s="9"/>
      <c r="Y35" s="9"/>
      <c r="Z35" s="6"/>
      <c r="AA35" s="6"/>
      <c r="AB35" s="6"/>
      <c r="AC35" s="6"/>
      <c r="AD35" s="6"/>
      <c r="AE35" s="6"/>
      <c r="AF35" s="6"/>
      <c r="AG35" s="6"/>
      <c r="AH35" s="6"/>
      <c r="AI35" s="6"/>
      <c r="AJ35" s="6"/>
      <c r="AK35" s="6"/>
      <c r="AL35" s="6"/>
      <c r="AM35" s="6"/>
      <c r="AN35" s="6"/>
      <c r="AO35" s="6"/>
      <c r="AP35" s="6"/>
    </row>
    <row r="36" spans="1:42" ht="15.75" customHeight="1" x14ac:dyDescent="0.15">
      <c r="A36" s="5" t="s">
        <v>264</v>
      </c>
      <c r="B36" s="6" t="s">
        <v>265</v>
      </c>
      <c r="C36" s="7">
        <v>34581793</v>
      </c>
      <c r="D36" s="8" t="s">
        <v>266</v>
      </c>
      <c r="E36" s="10" t="s">
        <v>228</v>
      </c>
      <c r="F36" s="7">
        <v>1</v>
      </c>
      <c r="G36" s="7">
        <v>1</v>
      </c>
      <c r="H36" s="7">
        <v>0</v>
      </c>
      <c r="I36" s="7">
        <v>0</v>
      </c>
      <c r="J36" s="7">
        <v>0</v>
      </c>
      <c r="K36" s="7">
        <v>1</v>
      </c>
      <c r="L36" s="7">
        <f t="shared" si="0"/>
        <v>3</v>
      </c>
      <c r="M36" s="5" t="s">
        <v>260</v>
      </c>
      <c r="N36" s="6" t="s">
        <v>267</v>
      </c>
      <c r="O36" s="6" t="s">
        <v>268</v>
      </c>
      <c r="P36" s="6" t="s">
        <v>269</v>
      </c>
      <c r="Q36" s="7">
        <v>2021</v>
      </c>
      <c r="R36" s="6" t="s">
        <v>50</v>
      </c>
      <c r="S36" s="6" t="s">
        <v>270</v>
      </c>
      <c r="T36" s="6"/>
      <c r="V36" s="6"/>
      <c r="W36" s="9"/>
      <c r="X36" s="9"/>
      <c r="Y36" s="9"/>
      <c r="Z36" s="6"/>
      <c r="AA36" s="6"/>
      <c r="AB36" s="6"/>
      <c r="AC36" s="6"/>
      <c r="AD36" s="6"/>
      <c r="AE36" s="6"/>
      <c r="AF36" s="6"/>
      <c r="AG36" s="6"/>
      <c r="AH36" s="6"/>
      <c r="AI36" s="6"/>
      <c r="AJ36" s="6"/>
      <c r="AK36" s="6"/>
      <c r="AL36" s="6"/>
      <c r="AM36" s="6"/>
      <c r="AN36" s="6"/>
      <c r="AO36" s="6"/>
      <c r="AP36" s="6"/>
    </row>
    <row r="37" spans="1:42" ht="15.75" customHeight="1" x14ac:dyDescent="0.15">
      <c r="A37" s="5" t="s">
        <v>271</v>
      </c>
      <c r="B37" s="6" t="s">
        <v>272</v>
      </c>
      <c r="C37" s="7">
        <v>37072433</v>
      </c>
      <c r="D37" s="8" t="s">
        <v>273</v>
      </c>
      <c r="E37" s="10" t="s">
        <v>228</v>
      </c>
      <c r="F37" s="7">
        <v>1</v>
      </c>
      <c r="G37" s="7">
        <v>1</v>
      </c>
      <c r="H37" s="7">
        <v>0</v>
      </c>
      <c r="I37" s="7">
        <v>1</v>
      </c>
      <c r="J37" s="7">
        <v>1</v>
      </c>
      <c r="K37" s="7">
        <v>1</v>
      </c>
      <c r="L37" s="7">
        <f t="shared" si="0"/>
        <v>5</v>
      </c>
      <c r="M37" s="5" t="s">
        <v>274</v>
      </c>
      <c r="N37" s="6" t="s">
        <v>275</v>
      </c>
      <c r="O37" s="6" t="s">
        <v>276</v>
      </c>
      <c r="P37" s="6" t="s">
        <v>277</v>
      </c>
      <c r="Q37" s="7">
        <v>2023</v>
      </c>
      <c r="R37" s="6" t="s">
        <v>34</v>
      </c>
      <c r="S37" s="6" t="s">
        <v>198</v>
      </c>
      <c r="T37" s="6"/>
      <c r="V37" s="6"/>
      <c r="W37" s="9"/>
      <c r="X37" s="9"/>
      <c r="Y37" s="9"/>
      <c r="Z37" s="6"/>
      <c r="AA37" s="6"/>
      <c r="AB37" s="6"/>
      <c r="AC37" s="6"/>
      <c r="AD37" s="6"/>
      <c r="AE37" s="6"/>
      <c r="AF37" s="6"/>
      <c r="AG37" s="6"/>
      <c r="AH37" s="6"/>
      <c r="AI37" s="6"/>
      <c r="AJ37" s="6"/>
      <c r="AK37" s="6"/>
      <c r="AL37" s="6"/>
      <c r="AM37" s="6"/>
      <c r="AN37" s="6"/>
      <c r="AO37" s="6"/>
      <c r="AP37" s="6"/>
    </row>
    <row r="38" spans="1:42" ht="15.75" customHeight="1" x14ac:dyDescent="0.15">
      <c r="A38" s="5" t="s">
        <v>278</v>
      </c>
      <c r="B38" s="6" t="s">
        <v>279</v>
      </c>
      <c r="C38" s="7">
        <v>36100912</v>
      </c>
      <c r="D38" s="8" t="s">
        <v>280</v>
      </c>
      <c r="E38" s="10" t="s">
        <v>228</v>
      </c>
      <c r="F38" s="7">
        <v>1</v>
      </c>
      <c r="G38" s="7">
        <v>1</v>
      </c>
      <c r="H38" s="7">
        <v>0</v>
      </c>
      <c r="I38" s="7">
        <v>1</v>
      </c>
      <c r="J38" s="7">
        <v>1</v>
      </c>
      <c r="K38" s="7">
        <v>1</v>
      </c>
      <c r="L38" s="7">
        <f t="shared" si="0"/>
        <v>5</v>
      </c>
      <c r="M38" s="5" t="s">
        <v>281</v>
      </c>
      <c r="N38" s="6" t="s">
        <v>282</v>
      </c>
      <c r="O38" s="6" t="s">
        <v>283</v>
      </c>
      <c r="P38" s="6" t="s">
        <v>284</v>
      </c>
      <c r="Q38" s="7">
        <v>2022</v>
      </c>
      <c r="R38" s="6" t="s">
        <v>50</v>
      </c>
      <c r="S38" s="6" t="s">
        <v>27</v>
      </c>
      <c r="T38" s="6"/>
      <c r="V38" s="6"/>
      <c r="W38" s="9"/>
      <c r="X38" s="9"/>
      <c r="Y38" s="9"/>
      <c r="Z38" s="6"/>
      <c r="AA38" s="6"/>
      <c r="AB38" s="6"/>
      <c r="AC38" s="6"/>
      <c r="AD38" s="6"/>
      <c r="AE38" s="6"/>
      <c r="AF38" s="6"/>
      <c r="AG38" s="6"/>
      <c r="AH38" s="6"/>
      <c r="AI38" s="6"/>
      <c r="AJ38" s="6"/>
      <c r="AK38" s="6"/>
      <c r="AL38" s="6"/>
      <c r="AM38" s="6"/>
      <c r="AN38" s="6"/>
      <c r="AO38" s="6"/>
      <c r="AP38" s="6"/>
    </row>
    <row r="39" spans="1:42" ht="15.75" customHeight="1" x14ac:dyDescent="0.15">
      <c r="A39" s="5" t="s">
        <v>285</v>
      </c>
      <c r="B39" s="6" t="s">
        <v>286</v>
      </c>
      <c r="C39" s="7">
        <v>38287365</v>
      </c>
      <c r="D39" s="8" t="s">
        <v>287</v>
      </c>
      <c r="E39" s="10" t="s">
        <v>228</v>
      </c>
      <c r="F39" s="7">
        <v>1</v>
      </c>
      <c r="G39" s="7">
        <v>1</v>
      </c>
      <c r="H39" s="7">
        <v>0</v>
      </c>
      <c r="I39" s="7">
        <v>0</v>
      </c>
      <c r="J39" s="7">
        <v>0</v>
      </c>
      <c r="K39" s="7">
        <v>1</v>
      </c>
      <c r="L39" s="7">
        <f t="shared" si="0"/>
        <v>3</v>
      </c>
      <c r="M39" s="5" t="s">
        <v>288</v>
      </c>
      <c r="N39" s="6" t="s">
        <v>289</v>
      </c>
      <c r="O39" s="6" t="s">
        <v>290</v>
      </c>
      <c r="P39" s="6" t="s">
        <v>291</v>
      </c>
      <c r="Q39" s="7">
        <v>2024</v>
      </c>
      <c r="R39" s="6" t="s">
        <v>66</v>
      </c>
      <c r="S39" s="6" t="s">
        <v>27</v>
      </c>
      <c r="T39" s="6"/>
      <c r="V39" s="6"/>
      <c r="W39" s="9"/>
      <c r="X39" s="9"/>
      <c r="Y39" s="9"/>
      <c r="Z39" s="6"/>
      <c r="AA39" s="6"/>
      <c r="AB39" s="6"/>
      <c r="AC39" s="6"/>
      <c r="AD39" s="6"/>
      <c r="AE39" s="6"/>
      <c r="AF39" s="6"/>
      <c r="AG39" s="6"/>
      <c r="AH39" s="6"/>
      <c r="AI39" s="6"/>
      <c r="AJ39" s="6"/>
      <c r="AK39" s="6"/>
      <c r="AL39" s="6"/>
      <c r="AM39" s="6"/>
      <c r="AN39" s="6"/>
      <c r="AO39" s="6"/>
      <c r="AP39" s="6"/>
    </row>
    <row r="40" spans="1:42" ht="15.75" customHeight="1" x14ac:dyDescent="0.15">
      <c r="A40" s="5" t="s">
        <v>292</v>
      </c>
      <c r="B40" s="6" t="s">
        <v>293</v>
      </c>
      <c r="C40" s="7">
        <v>30314489</v>
      </c>
      <c r="D40" s="8" t="s">
        <v>294</v>
      </c>
      <c r="E40" s="10" t="s">
        <v>228</v>
      </c>
      <c r="F40" s="7">
        <v>1</v>
      </c>
      <c r="G40" s="7">
        <v>1</v>
      </c>
      <c r="H40" s="7">
        <v>0</v>
      </c>
      <c r="I40" s="7">
        <v>1</v>
      </c>
      <c r="J40" s="7">
        <v>1</v>
      </c>
      <c r="K40" s="7">
        <v>1</v>
      </c>
      <c r="L40" s="7">
        <f t="shared" si="0"/>
        <v>5</v>
      </c>
      <c r="M40" s="5" t="s">
        <v>295</v>
      </c>
      <c r="N40" s="6" t="s">
        <v>296</v>
      </c>
      <c r="O40" s="6" t="s">
        <v>297</v>
      </c>
      <c r="P40" s="6" t="s">
        <v>298</v>
      </c>
      <c r="Q40" s="7">
        <v>2018</v>
      </c>
      <c r="R40" s="6" t="s">
        <v>80</v>
      </c>
      <c r="S40" s="6" t="s">
        <v>27</v>
      </c>
      <c r="T40" s="6"/>
      <c r="V40" s="6"/>
      <c r="W40" s="9"/>
      <c r="X40" s="9"/>
      <c r="Y40" s="9"/>
      <c r="Z40" s="6"/>
      <c r="AA40" s="6"/>
      <c r="AB40" s="6"/>
      <c r="AC40" s="6"/>
      <c r="AD40" s="6"/>
      <c r="AE40" s="6"/>
      <c r="AF40" s="6"/>
      <c r="AG40" s="6"/>
      <c r="AH40" s="6"/>
      <c r="AI40" s="6"/>
      <c r="AJ40" s="6"/>
      <c r="AK40" s="6"/>
      <c r="AL40" s="6"/>
      <c r="AM40" s="6"/>
      <c r="AN40" s="6"/>
      <c r="AO40" s="6"/>
      <c r="AP40" s="6"/>
    </row>
    <row r="41" spans="1:42" ht="15.75" customHeight="1" x14ac:dyDescent="0.15">
      <c r="A41" s="5" t="s">
        <v>299</v>
      </c>
      <c r="B41" s="6" t="s">
        <v>300</v>
      </c>
      <c r="C41" s="7">
        <v>34034754</v>
      </c>
      <c r="D41" s="8" t="s">
        <v>301</v>
      </c>
      <c r="E41" s="10" t="s">
        <v>228</v>
      </c>
      <c r="F41" s="7">
        <v>1</v>
      </c>
      <c r="G41" s="7">
        <v>1</v>
      </c>
      <c r="H41" s="7">
        <v>0</v>
      </c>
      <c r="I41" s="7">
        <v>1</v>
      </c>
      <c r="J41" s="7">
        <v>0</v>
      </c>
      <c r="K41" s="7">
        <v>1</v>
      </c>
      <c r="L41" s="7">
        <f t="shared" si="0"/>
        <v>4</v>
      </c>
      <c r="M41" s="5" t="s">
        <v>302</v>
      </c>
      <c r="N41" s="6" t="s">
        <v>303</v>
      </c>
      <c r="O41" s="6" t="s">
        <v>304</v>
      </c>
      <c r="P41" s="6" t="s">
        <v>305</v>
      </c>
      <c r="Q41" s="7">
        <v>2021</v>
      </c>
      <c r="R41" s="6" t="s">
        <v>119</v>
      </c>
      <c r="S41" s="6" t="s">
        <v>27</v>
      </c>
      <c r="T41" s="6"/>
      <c r="V41" s="6"/>
      <c r="W41" s="9"/>
      <c r="X41" s="9"/>
      <c r="Y41" s="9"/>
      <c r="Z41" s="6"/>
      <c r="AA41" s="6"/>
      <c r="AB41" s="6"/>
      <c r="AC41" s="6"/>
      <c r="AD41" s="6"/>
      <c r="AE41" s="6"/>
      <c r="AF41" s="6"/>
      <c r="AG41" s="6"/>
      <c r="AH41" s="6"/>
      <c r="AI41" s="6"/>
      <c r="AJ41" s="6"/>
      <c r="AK41" s="6"/>
      <c r="AL41" s="6"/>
      <c r="AM41" s="6"/>
      <c r="AN41" s="6"/>
      <c r="AO41" s="6"/>
      <c r="AP41" s="6"/>
    </row>
    <row r="42" spans="1:42" ht="15.75" customHeight="1" x14ac:dyDescent="0.15">
      <c r="A42" s="5" t="s">
        <v>306</v>
      </c>
      <c r="B42" s="6" t="s">
        <v>307</v>
      </c>
      <c r="C42" s="7">
        <v>31248414</v>
      </c>
      <c r="D42" s="8" t="s">
        <v>308</v>
      </c>
      <c r="E42" s="10" t="s">
        <v>228</v>
      </c>
      <c r="F42" s="7">
        <v>1</v>
      </c>
      <c r="G42" s="7">
        <v>1</v>
      </c>
      <c r="H42" s="7">
        <v>0</v>
      </c>
      <c r="I42" s="7">
        <v>1</v>
      </c>
      <c r="J42" s="7">
        <v>0</v>
      </c>
      <c r="K42" s="7">
        <v>1</v>
      </c>
      <c r="L42" s="7">
        <f t="shared" si="0"/>
        <v>4</v>
      </c>
      <c r="M42" s="5" t="s">
        <v>309</v>
      </c>
      <c r="N42" s="6" t="s">
        <v>310</v>
      </c>
      <c r="O42" s="6" t="s">
        <v>311</v>
      </c>
      <c r="P42" s="6" t="s">
        <v>312</v>
      </c>
      <c r="Q42" s="7">
        <v>2019</v>
      </c>
      <c r="R42" s="6" t="s">
        <v>88</v>
      </c>
      <c r="S42" s="6" t="s">
        <v>27</v>
      </c>
      <c r="T42" s="6"/>
      <c r="V42" s="6"/>
      <c r="W42" s="9"/>
      <c r="X42" s="9"/>
      <c r="Y42" s="9"/>
      <c r="Z42" s="6"/>
      <c r="AA42" s="6"/>
      <c r="AB42" s="6"/>
      <c r="AC42" s="6"/>
      <c r="AD42" s="6"/>
      <c r="AE42" s="6"/>
      <c r="AF42" s="6"/>
      <c r="AG42" s="6"/>
      <c r="AH42" s="6"/>
      <c r="AI42" s="6"/>
      <c r="AJ42" s="6"/>
      <c r="AK42" s="6"/>
      <c r="AL42" s="6"/>
      <c r="AM42" s="6"/>
      <c r="AN42" s="6"/>
      <c r="AO42" s="6"/>
      <c r="AP42" s="6"/>
    </row>
    <row r="43" spans="1:42" ht="15.75" customHeight="1" x14ac:dyDescent="0.15">
      <c r="A43" s="5" t="s">
        <v>313</v>
      </c>
      <c r="B43" s="6" t="s">
        <v>314</v>
      </c>
      <c r="C43" s="7">
        <v>31590670</v>
      </c>
      <c r="D43" s="8" t="s">
        <v>315</v>
      </c>
      <c r="E43" s="10" t="s">
        <v>228</v>
      </c>
      <c r="F43" s="7">
        <v>1</v>
      </c>
      <c r="G43" s="7">
        <v>1</v>
      </c>
      <c r="H43" s="7">
        <v>0</v>
      </c>
      <c r="I43" s="7">
        <v>1</v>
      </c>
      <c r="J43" s="7">
        <v>0</v>
      </c>
      <c r="K43" s="7">
        <v>1</v>
      </c>
      <c r="L43" s="7">
        <f t="shared" si="0"/>
        <v>4</v>
      </c>
      <c r="M43" s="5" t="s">
        <v>309</v>
      </c>
      <c r="N43" s="6" t="s">
        <v>316</v>
      </c>
      <c r="O43" s="6" t="s">
        <v>317</v>
      </c>
      <c r="P43" s="6" t="s">
        <v>318</v>
      </c>
      <c r="Q43" s="7">
        <v>2019</v>
      </c>
      <c r="R43" s="6" t="s">
        <v>80</v>
      </c>
      <c r="S43" s="6" t="s">
        <v>27</v>
      </c>
      <c r="T43" s="6"/>
      <c r="V43" s="6"/>
      <c r="W43" s="9"/>
      <c r="X43" s="9"/>
      <c r="Y43" s="9"/>
      <c r="Z43" s="6"/>
      <c r="AA43" s="6"/>
      <c r="AB43" s="6"/>
      <c r="AC43" s="6"/>
      <c r="AD43" s="6"/>
      <c r="AE43" s="6"/>
      <c r="AF43" s="6"/>
      <c r="AG43" s="6"/>
      <c r="AH43" s="6"/>
      <c r="AI43" s="6"/>
      <c r="AJ43" s="6"/>
      <c r="AK43" s="6"/>
      <c r="AL43" s="6"/>
      <c r="AM43" s="6"/>
      <c r="AN43" s="6"/>
      <c r="AO43" s="6"/>
      <c r="AP43" s="6"/>
    </row>
    <row r="44" spans="1:42" ht="15.75" customHeight="1" x14ac:dyDescent="0.15">
      <c r="A44" s="5" t="s">
        <v>319</v>
      </c>
      <c r="B44" s="6" t="s">
        <v>320</v>
      </c>
      <c r="C44" s="7">
        <v>33823558</v>
      </c>
      <c r="D44" s="8" t="s">
        <v>321</v>
      </c>
      <c r="E44" s="10" t="s">
        <v>228</v>
      </c>
      <c r="F44" s="7">
        <v>1</v>
      </c>
      <c r="G44" s="7">
        <v>1</v>
      </c>
      <c r="H44" s="7">
        <v>0</v>
      </c>
      <c r="I44" s="7">
        <v>0</v>
      </c>
      <c r="J44" s="7">
        <v>1</v>
      </c>
      <c r="K44" s="7">
        <v>1</v>
      </c>
      <c r="L44" s="7">
        <f t="shared" si="0"/>
        <v>4</v>
      </c>
      <c r="M44" s="5" t="s">
        <v>309</v>
      </c>
      <c r="N44" s="6" t="s">
        <v>322</v>
      </c>
      <c r="O44" s="6" t="s">
        <v>323</v>
      </c>
      <c r="P44" s="6" t="s">
        <v>324</v>
      </c>
      <c r="Q44" s="7">
        <v>2021</v>
      </c>
      <c r="R44" s="6" t="s">
        <v>119</v>
      </c>
      <c r="S44" s="6" t="s">
        <v>325</v>
      </c>
      <c r="T44" s="6"/>
      <c r="V44" s="6"/>
      <c r="W44" s="9"/>
      <c r="X44" s="9"/>
      <c r="Y44" s="9"/>
      <c r="Z44" s="6"/>
      <c r="AA44" s="6"/>
      <c r="AB44" s="6"/>
      <c r="AC44" s="6"/>
      <c r="AD44" s="6"/>
      <c r="AE44" s="6"/>
      <c r="AF44" s="6"/>
      <c r="AG44" s="6"/>
      <c r="AH44" s="6"/>
      <c r="AI44" s="6"/>
      <c r="AJ44" s="6"/>
      <c r="AK44" s="6"/>
      <c r="AL44" s="6"/>
      <c r="AM44" s="6"/>
      <c r="AN44" s="6"/>
      <c r="AO44" s="6"/>
      <c r="AP44" s="6"/>
    </row>
    <row r="45" spans="1:42" ht="15.75" customHeight="1" x14ac:dyDescent="0.15">
      <c r="A45" s="5" t="s">
        <v>326</v>
      </c>
      <c r="B45" s="6" t="s">
        <v>327</v>
      </c>
      <c r="C45" s="7">
        <v>34419672</v>
      </c>
      <c r="D45" s="8" t="s">
        <v>328</v>
      </c>
      <c r="E45" s="10" t="s">
        <v>228</v>
      </c>
      <c r="F45" s="7">
        <v>1</v>
      </c>
      <c r="G45" s="7">
        <v>1</v>
      </c>
      <c r="H45" s="7">
        <v>0</v>
      </c>
      <c r="I45" s="7">
        <v>1</v>
      </c>
      <c r="J45" s="7">
        <v>1</v>
      </c>
      <c r="K45" s="7">
        <v>1</v>
      </c>
      <c r="L45" s="7">
        <f t="shared" si="0"/>
        <v>5</v>
      </c>
      <c r="M45" s="5" t="s">
        <v>309</v>
      </c>
      <c r="N45" s="6" t="s">
        <v>329</v>
      </c>
      <c r="O45" s="6" t="s">
        <v>330</v>
      </c>
      <c r="P45" s="6" t="s">
        <v>331</v>
      </c>
      <c r="Q45" s="7">
        <v>2021</v>
      </c>
      <c r="R45" s="6" t="s">
        <v>59</v>
      </c>
      <c r="S45" s="6" t="s">
        <v>81</v>
      </c>
      <c r="T45" s="6"/>
      <c r="V45" s="6"/>
      <c r="W45" s="9"/>
      <c r="X45" s="9"/>
      <c r="Y45" s="9"/>
      <c r="Z45" s="6"/>
      <c r="AA45" s="6"/>
      <c r="AB45" s="6"/>
      <c r="AC45" s="6"/>
      <c r="AD45" s="6"/>
      <c r="AE45" s="6"/>
      <c r="AF45" s="6"/>
      <c r="AG45" s="6"/>
      <c r="AH45" s="6"/>
      <c r="AI45" s="6"/>
      <c r="AJ45" s="6"/>
      <c r="AK45" s="6"/>
      <c r="AL45" s="6"/>
      <c r="AM45" s="6"/>
      <c r="AN45" s="6"/>
      <c r="AO45" s="6"/>
      <c r="AP45" s="6"/>
    </row>
    <row r="46" spans="1:42" ht="15.75" customHeight="1" x14ac:dyDescent="0.15">
      <c r="A46" s="5" t="s">
        <v>332</v>
      </c>
      <c r="B46" s="6" t="s">
        <v>333</v>
      </c>
      <c r="C46" s="7">
        <v>34906134</v>
      </c>
      <c r="D46" s="8" t="s">
        <v>334</v>
      </c>
      <c r="E46" s="10" t="s">
        <v>228</v>
      </c>
      <c r="F46" s="7">
        <v>1</v>
      </c>
      <c r="G46" s="7">
        <v>1</v>
      </c>
      <c r="H46" s="7">
        <v>0</v>
      </c>
      <c r="I46" s="7">
        <v>1</v>
      </c>
      <c r="J46" s="7">
        <v>1</v>
      </c>
      <c r="K46" s="7">
        <v>1</v>
      </c>
      <c r="L46" s="7">
        <f t="shared" si="0"/>
        <v>5</v>
      </c>
      <c r="M46" s="5" t="s">
        <v>335</v>
      </c>
      <c r="N46" s="6" t="s">
        <v>336</v>
      </c>
      <c r="O46" s="6" t="s">
        <v>337</v>
      </c>
      <c r="P46" s="6" t="s">
        <v>338</v>
      </c>
      <c r="Q46" s="7">
        <v>2021</v>
      </c>
      <c r="R46" s="6" t="s">
        <v>150</v>
      </c>
      <c r="S46" s="6" t="s">
        <v>27</v>
      </c>
      <c r="T46" s="6"/>
      <c r="V46" s="6"/>
      <c r="W46" s="9"/>
      <c r="X46" s="9"/>
      <c r="Y46" s="9"/>
      <c r="Z46" s="6"/>
      <c r="AA46" s="6"/>
      <c r="AB46" s="6"/>
      <c r="AC46" s="6"/>
      <c r="AD46" s="6"/>
      <c r="AE46" s="6"/>
      <c r="AF46" s="6"/>
      <c r="AG46" s="6"/>
      <c r="AH46" s="6"/>
      <c r="AI46" s="6"/>
      <c r="AJ46" s="6"/>
      <c r="AK46" s="6"/>
      <c r="AL46" s="6"/>
      <c r="AM46" s="6"/>
      <c r="AN46" s="6"/>
      <c r="AO46" s="6"/>
      <c r="AP46" s="6"/>
    </row>
    <row r="47" spans="1:42" ht="15.75" customHeight="1" x14ac:dyDescent="0.15">
      <c r="A47" s="5" t="s">
        <v>339</v>
      </c>
      <c r="B47" s="6" t="s">
        <v>340</v>
      </c>
      <c r="C47" s="7">
        <v>25471113</v>
      </c>
      <c r="D47" s="8" t="s">
        <v>341</v>
      </c>
      <c r="E47" s="10" t="s">
        <v>228</v>
      </c>
      <c r="F47" s="7">
        <v>1</v>
      </c>
      <c r="G47" s="7">
        <v>1</v>
      </c>
      <c r="H47" s="7">
        <v>0</v>
      </c>
      <c r="I47" s="7">
        <v>1</v>
      </c>
      <c r="J47" s="7">
        <v>1</v>
      </c>
      <c r="K47" s="7">
        <v>1</v>
      </c>
      <c r="L47" s="7">
        <f t="shared" si="0"/>
        <v>5</v>
      </c>
      <c r="M47" s="5" t="s">
        <v>342</v>
      </c>
      <c r="N47" s="6" t="s">
        <v>343</v>
      </c>
      <c r="O47" s="6" t="s">
        <v>344</v>
      </c>
      <c r="P47" s="6" t="s">
        <v>345</v>
      </c>
      <c r="Q47" s="7">
        <v>2014</v>
      </c>
      <c r="R47" s="6" t="s">
        <v>150</v>
      </c>
      <c r="S47" s="6" t="s">
        <v>27</v>
      </c>
      <c r="T47" s="6"/>
      <c r="V47" s="6"/>
      <c r="W47" s="9"/>
      <c r="X47" s="9"/>
      <c r="Y47" s="9"/>
      <c r="Z47" s="6"/>
      <c r="AA47" s="6"/>
      <c r="AB47" s="6"/>
      <c r="AC47" s="6"/>
      <c r="AD47" s="6"/>
      <c r="AE47" s="6"/>
      <c r="AF47" s="6"/>
      <c r="AG47" s="6"/>
      <c r="AH47" s="6"/>
      <c r="AI47" s="6"/>
      <c r="AJ47" s="6"/>
      <c r="AK47" s="6"/>
      <c r="AL47" s="6"/>
      <c r="AM47" s="6"/>
      <c r="AN47" s="6"/>
      <c r="AO47" s="6"/>
      <c r="AP47" s="6"/>
    </row>
    <row r="48" spans="1:42" ht="15.75" customHeight="1" x14ac:dyDescent="0.15">
      <c r="A48" s="5" t="s">
        <v>346</v>
      </c>
      <c r="B48" s="6" t="s">
        <v>347</v>
      </c>
      <c r="C48" s="7">
        <v>28450175</v>
      </c>
      <c r="D48" s="8" t="s">
        <v>348</v>
      </c>
      <c r="E48" s="10" t="s">
        <v>228</v>
      </c>
      <c r="F48" s="7">
        <v>1</v>
      </c>
      <c r="G48" s="7">
        <v>1</v>
      </c>
      <c r="H48" s="7">
        <v>0</v>
      </c>
      <c r="I48" s="7">
        <v>0</v>
      </c>
      <c r="J48" s="7">
        <v>0</v>
      </c>
      <c r="K48" s="7">
        <v>1</v>
      </c>
      <c r="L48" s="7">
        <f t="shared" si="0"/>
        <v>3</v>
      </c>
      <c r="M48" s="5" t="s">
        <v>342</v>
      </c>
      <c r="N48" s="6" t="s">
        <v>349</v>
      </c>
      <c r="O48" s="6" t="s">
        <v>350</v>
      </c>
      <c r="P48" s="6" t="s">
        <v>351</v>
      </c>
      <c r="Q48" s="7">
        <v>2017</v>
      </c>
      <c r="R48" s="6" t="s">
        <v>88</v>
      </c>
      <c r="S48" s="6" t="s">
        <v>352</v>
      </c>
      <c r="T48" s="6"/>
      <c r="V48" s="6"/>
      <c r="W48" s="9"/>
      <c r="X48" s="9"/>
      <c r="Y48" s="9"/>
      <c r="Z48" s="6"/>
      <c r="AA48" s="6"/>
      <c r="AB48" s="6"/>
      <c r="AC48" s="6"/>
      <c r="AD48" s="6"/>
      <c r="AE48" s="6"/>
      <c r="AF48" s="6"/>
      <c r="AG48" s="6"/>
      <c r="AH48" s="6"/>
      <c r="AI48" s="6"/>
      <c r="AJ48" s="6"/>
      <c r="AK48" s="6"/>
      <c r="AL48" s="6"/>
      <c r="AM48" s="6"/>
      <c r="AN48" s="6"/>
      <c r="AO48" s="6"/>
      <c r="AP48" s="6"/>
    </row>
    <row r="49" spans="1:42" ht="15.75" customHeight="1" x14ac:dyDescent="0.15">
      <c r="A49" s="5" t="s">
        <v>353</v>
      </c>
      <c r="B49" s="6" t="s">
        <v>354</v>
      </c>
      <c r="C49" s="7">
        <v>33045351</v>
      </c>
      <c r="D49" s="8" t="s">
        <v>355</v>
      </c>
      <c r="E49" s="10" t="s">
        <v>228</v>
      </c>
      <c r="F49" s="7">
        <v>1</v>
      </c>
      <c r="G49" s="7">
        <v>1</v>
      </c>
      <c r="H49" s="7">
        <v>0</v>
      </c>
      <c r="I49" s="7">
        <v>0</v>
      </c>
      <c r="J49" s="7">
        <v>0</v>
      </c>
      <c r="K49" s="7">
        <v>1</v>
      </c>
      <c r="L49" s="7">
        <f t="shared" si="0"/>
        <v>3</v>
      </c>
      <c r="M49" s="5" t="s">
        <v>342</v>
      </c>
      <c r="N49" s="6" t="s">
        <v>356</v>
      </c>
      <c r="O49" s="6" t="s">
        <v>357</v>
      </c>
      <c r="P49" s="6" t="s">
        <v>358</v>
      </c>
      <c r="Q49" s="7">
        <v>2020</v>
      </c>
      <c r="R49" s="6" t="s">
        <v>150</v>
      </c>
      <c r="S49" s="6" t="s">
        <v>352</v>
      </c>
      <c r="T49" s="6"/>
      <c r="V49" s="6"/>
      <c r="W49" s="9"/>
      <c r="X49" s="9"/>
      <c r="Y49" s="9"/>
      <c r="Z49" s="6"/>
      <c r="AA49" s="6"/>
      <c r="AB49" s="6"/>
      <c r="AC49" s="6"/>
      <c r="AD49" s="6"/>
      <c r="AE49" s="6"/>
      <c r="AF49" s="6"/>
      <c r="AG49" s="6"/>
      <c r="AH49" s="6"/>
      <c r="AI49" s="6"/>
      <c r="AJ49" s="6"/>
      <c r="AK49" s="6"/>
      <c r="AL49" s="6"/>
      <c r="AM49" s="6"/>
      <c r="AN49" s="6"/>
      <c r="AO49" s="6"/>
      <c r="AP49" s="6"/>
    </row>
    <row r="50" spans="1:42" ht="15.75" customHeight="1" x14ac:dyDescent="0.15">
      <c r="A50" s="5" t="s">
        <v>359</v>
      </c>
      <c r="B50" s="6" t="s">
        <v>360</v>
      </c>
      <c r="C50" s="7">
        <v>33770151</v>
      </c>
      <c r="D50" s="8" t="s">
        <v>361</v>
      </c>
      <c r="E50" s="10" t="s">
        <v>228</v>
      </c>
      <c r="F50" s="7">
        <v>1</v>
      </c>
      <c r="G50" s="7">
        <v>1</v>
      </c>
      <c r="H50" s="7">
        <v>0</v>
      </c>
      <c r="I50" s="7">
        <v>1</v>
      </c>
      <c r="J50" s="7">
        <v>1</v>
      </c>
      <c r="K50" s="7">
        <v>1</v>
      </c>
      <c r="L50" s="7">
        <f t="shared" si="0"/>
        <v>5</v>
      </c>
      <c r="M50" s="5" t="s">
        <v>342</v>
      </c>
      <c r="N50" s="6" t="s">
        <v>362</v>
      </c>
      <c r="O50" s="6" t="s">
        <v>363</v>
      </c>
      <c r="P50" s="6" t="s">
        <v>364</v>
      </c>
      <c r="Q50" s="7">
        <v>2021</v>
      </c>
      <c r="R50" s="6" t="s">
        <v>135</v>
      </c>
      <c r="S50" s="6" t="s">
        <v>97</v>
      </c>
      <c r="T50" s="6"/>
      <c r="V50" s="6"/>
      <c r="W50" s="9"/>
      <c r="X50" s="9"/>
      <c r="Y50" s="9"/>
      <c r="Z50" s="6"/>
      <c r="AA50" s="6"/>
      <c r="AB50" s="6"/>
      <c r="AC50" s="6"/>
      <c r="AD50" s="6"/>
      <c r="AE50" s="6"/>
      <c r="AF50" s="6"/>
      <c r="AG50" s="6"/>
      <c r="AH50" s="6"/>
      <c r="AI50" s="6"/>
      <c r="AJ50" s="6"/>
      <c r="AK50" s="6"/>
      <c r="AL50" s="6"/>
      <c r="AM50" s="6"/>
      <c r="AN50" s="6"/>
      <c r="AO50" s="6"/>
      <c r="AP50" s="6"/>
    </row>
    <row r="51" spans="1:42" ht="15.75" customHeight="1" x14ac:dyDescent="0.15">
      <c r="A51" s="5" t="s">
        <v>365</v>
      </c>
      <c r="B51" s="6" t="s">
        <v>366</v>
      </c>
      <c r="C51" s="7">
        <v>36798264</v>
      </c>
      <c r="D51" s="8" t="s">
        <v>367</v>
      </c>
      <c r="E51" s="10" t="s">
        <v>228</v>
      </c>
      <c r="F51" s="7">
        <v>1</v>
      </c>
      <c r="G51" s="7">
        <v>1</v>
      </c>
      <c r="H51" s="7">
        <v>1</v>
      </c>
      <c r="I51" s="7">
        <v>1</v>
      </c>
      <c r="J51" s="7">
        <v>0</v>
      </c>
      <c r="K51" s="7">
        <v>1</v>
      </c>
      <c r="L51" s="7">
        <f t="shared" si="0"/>
        <v>5</v>
      </c>
      <c r="M51" s="5" t="s">
        <v>342</v>
      </c>
      <c r="N51" s="6" t="s">
        <v>368</v>
      </c>
      <c r="O51" s="6" t="s">
        <v>369</v>
      </c>
      <c r="P51" s="6" t="s">
        <v>370</v>
      </c>
      <c r="Q51" s="7">
        <v>2023</v>
      </c>
      <c r="R51" s="6" t="s">
        <v>26</v>
      </c>
      <c r="S51" s="6" t="s">
        <v>371</v>
      </c>
      <c r="T51" s="6"/>
      <c r="V51" s="6"/>
      <c r="W51" s="9"/>
      <c r="X51" s="9"/>
      <c r="Y51" s="9"/>
      <c r="Z51" s="6"/>
      <c r="AA51" s="6"/>
      <c r="AB51" s="6"/>
      <c r="AC51" s="6"/>
      <c r="AD51" s="6"/>
      <c r="AE51" s="6"/>
      <c r="AF51" s="6"/>
      <c r="AG51" s="6"/>
      <c r="AH51" s="6"/>
      <c r="AI51" s="6"/>
      <c r="AJ51" s="6"/>
      <c r="AK51" s="6"/>
      <c r="AL51" s="6"/>
      <c r="AM51" s="6"/>
      <c r="AN51" s="6"/>
      <c r="AO51" s="6"/>
      <c r="AP51" s="6"/>
    </row>
    <row r="52" spans="1:42" ht="15.75" customHeight="1" x14ac:dyDescent="0.15">
      <c r="A52" s="5" t="s">
        <v>372</v>
      </c>
      <c r="B52" s="6" t="s">
        <v>373</v>
      </c>
      <c r="C52" s="7">
        <v>37670357</v>
      </c>
      <c r="D52" s="8" t="s">
        <v>374</v>
      </c>
      <c r="E52" s="10" t="s">
        <v>228</v>
      </c>
      <c r="F52" s="7">
        <v>1</v>
      </c>
      <c r="G52" s="7">
        <v>1</v>
      </c>
      <c r="H52" s="7">
        <v>1</v>
      </c>
      <c r="I52" s="7">
        <v>1</v>
      </c>
      <c r="J52" s="7">
        <v>1</v>
      </c>
      <c r="K52" s="7">
        <v>1</v>
      </c>
      <c r="L52" s="7">
        <f t="shared" si="0"/>
        <v>6</v>
      </c>
      <c r="M52" s="5" t="s">
        <v>342</v>
      </c>
      <c r="N52" s="6" t="s">
        <v>375</v>
      </c>
      <c r="O52" s="6" t="s">
        <v>376</v>
      </c>
      <c r="P52" s="6" t="s">
        <v>377</v>
      </c>
      <c r="Q52" s="7">
        <v>2023</v>
      </c>
      <c r="R52" s="6" t="s">
        <v>50</v>
      </c>
      <c r="S52" s="6" t="s">
        <v>27</v>
      </c>
      <c r="T52" s="6"/>
      <c r="V52" s="6"/>
      <c r="W52" s="9"/>
      <c r="X52" s="9"/>
      <c r="Y52" s="9"/>
      <c r="Z52" s="6"/>
      <c r="AA52" s="6"/>
      <c r="AB52" s="6"/>
      <c r="AC52" s="6"/>
      <c r="AD52" s="6"/>
      <c r="AE52" s="6"/>
      <c r="AF52" s="6"/>
      <c r="AG52" s="6"/>
      <c r="AH52" s="6"/>
      <c r="AI52" s="6"/>
      <c r="AJ52" s="6"/>
      <c r="AK52" s="6"/>
      <c r="AL52" s="6"/>
      <c r="AM52" s="6"/>
      <c r="AN52" s="6"/>
      <c r="AO52" s="6"/>
      <c r="AP52" s="6"/>
    </row>
    <row r="53" spans="1:42" ht="15.75" customHeight="1" x14ac:dyDescent="0.15">
      <c r="A53" s="5" t="s">
        <v>378</v>
      </c>
      <c r="B53" s="6" t="s">
        <v>379</v>
      </c>
      <c r="C53" s="7">
        <v>36532481</v>
      </c>
      <c r="D53" s="8" t="s">
        <v>380</v>
      </c>
      <c r="E53" s="10" t="s">
        <v>228</v>
      </c>
      <c r="F53" s="7">
        <v>1</v>
      </c>
      <c r="G53" s="7">
        <v>1</v>
      </c>
      <c r="H53" s="7">
        <v>0</v>
      </c>
      <c r="I53" s="7">
        <v>1</v>
      </c>
      <c r="J53" s="7">
        <v>1</v>
      </c>
      <c r="K53" s="7">
        <v>1</v>
      </c>
      <c r="L53" s="7">
        <f t="shared" si="0"/>
        <v>5</v>
      </c>
      <c r="M53" s="5" t="s">
        <v>381</v>
      </c>
      <c r="N53" s="6" t="s">
        <v>382</v>
      </c>
      <c r="O53" s="6" t="s">
        <v>383</v>
      </c>
      <c r="P53" s="6" t="s">
        <v>384</v>
      </c>
      <c r="Q53" s="7">
        <v>2022</v>
      </c>
      <c r="R53" s="6" t="s">
        <v>150</v>
      </c>
      <c r="S53" s="6" t="s">
        <v>385</v>
      </c>
      <c r="T53" s="6"/>
      <c r="V53" s="6"/>
      <c r="W53" s="9"/>
      <c r="X53" s="9"/>
      <c r="Y53" s="9"/>
      <c r="Z53" s="6"/>
      <c r="AA53" s="6"/>
      <c r="AB53" s="6"/>
      <c r="AC53" s="6"/>
      <c r="AD53" s="6"/>
      <c r="AE53" s="6"/>
      <c r="AF53" s="6"/>
      <c r="AG53" s="6"/>
      <c r="AH53" s="6"/>
      <c r="AI53" s="6"/>
      <c r="AJ53" s="6"/>
      <c r="AK53" s="6"/>
      <c r="AL53" s="6"/>
      <c r="AM53" s="6"/>
      <c r="AN53" s="6"/>
      <c r="AO53" s="6"/>
      <c r="AP53" s="6"/>
    </row>
    <row r="54" spans="1:42" ht="15.75" customHeight="1" x14ac:dyDescent="0.15">
      <c r="A54" s="5" t="s">
        <v>386</v>
      </c>
      <c r="B54" s="6" t="s">
        <v>387</v>
      </c>
      <c r="C54" s="7">
        <v>37170467</v>
      </c>
      <c r="D54" s="8" t="s">
        <v>388</v>
      </c>
      <c r="E54" s="10" t="s">
        <v>228</v>
      </c>
      <c r="F54" s="7">
        <v>1</v>
      </c>
      <c r="G54" s="7">
        <v>1</v>
      </c>
      <c r="H54" s="7">
        <v>0</v>
      </c>
      <c r="I54" s="7">
        <v>1</v>
      </c>
      <c r="J54" s="7">
        <v>0</v>
      </c>
      <c r="K54" s="7">
        <v>1</v>
      </c>
      <c r="L54" s="7">
        <f t="shared" si="0"/>
        <v>4</v>
      </c>
      <c r="M54" s="5" t="s">
        <v>389</v>
      </c>
      <c r="N54" s="6" t="s">
        <v>390</v>
      </c>
      <c r="O54" s="6" t="s">
        <v>391</v>
      </c>
      <c r="P54" s="6" t="s">
        <v>392</v>
      </c>
      <c r="Q54" s="7">
        <v>2023</v>
      </c>
      <c r="R54" s="6" t="s">
        <v>26</v>
      </c>
      <c r="S54" s="6" t="s">
        <v>393</v>
      </c>
      <c r="T54" s="6"/>
      <c r="V54" s="6"/>
      <c r="W54" s="9"/>
      <c r="X54" s="9"/>
      <c r="Y54" s="9"/>
      <c r="Z54" s="6"/>
      <c r="AA54" s="6"/>
      <c r="AB54" s="6"/>
      <c r="AC54" s="6"/>
      <c r="AD54" s="6"/>
      <c r="AE54" s="6"/>
      <c r="AF54" s="6"/>
      <c r="AG54" s="6"/>
      <c r="AH54" s="6"/>
      <c r="AI54" s="6"/>
      <c r="AJ54" s="6"/>
      <c r="AK54" s="6"/>
      <c r="AL54" s="6"/>
      <c r="AM54" s="6"/>
      <c r="AN54" s="6"/>
      <c r="AO54" s="6"/>
      <c r="AP54" s="6"/>
    </row>
    <row r="55" spans="1:42" ht="15.75" customHeight="1" x14ac:dyDescent="0.15">
      <c r="A55" s="5" t="s">
        <v>394</v>
      </c>
      <c r="B55" s="6" t="s">
        <v>395</v>
      </c>
      <c r="C55" s="7">
        <v>32817665</v>
      </c>
      <c r="D55" s="8" t="s">
        <v>396</v>
      </c>
      <c r="E55" s="10" t="s">
        <v>228</v>
      </c>
      <c r="F55" s="7">
        <v>1</v>
      </c>
      <c r="G55" s="7">
        <v>1</v>
      </c>
      <c r="H55" s="7">
        <v>0</v>
      </c>
      <c r="I55" s="7">
        <v>1</v>
      </c>
      <c r="J55" s="7">
        <v>1</v>
      </c>
      <c r="K55" s="7">
        <v>1</v>
      </c>
      <c r="L55" s="7">
        <f t="shared" si="0"/>
        <v>5</v>
      </c>
      <c r="M55" s="5" t="s">
        <v>397</v>
      </c>
      <c r="N55" s="6" t="s">
        <v>398</v>
      </c>
      <c r="O55" s="6" t="s">
        <v>399</v>
      </c>
      <c r="P55" s="6" t="s">
        <v>400</v>
      </c>
      <c r="Q55" s="7">
        <v>2020</v>
      </c>
      <c r="R55" s="6" t="s">
        <v>96</v>
      </c>
      <c r="S55" s="6" t="s">
        <v>97</v>
      </c>
      <c r="T55" s="6"/>
      <c r="V55" s="6"/>
      <c r="W55" s="9"/>
      <c r="X55" s="9"/>
      <c r="Y55" s="9"/>
      <c r="Z55" s="6"/>
      <c r="AA55" s="6"/>
      <c r="AB55" s="6"/>
      <c r="AC55" s="6"/>
      <c r="AD55" s="6"/>
      <c r="AE55" s="6"/>
      <c r="AF55" s="6"/>
      <c r="AG55" s="6"/>
      <c r="AH55" s="6"/>
      <c r="AI55" s="6"/>
      <c r="AJ55" s="6"/>
      <c r="AK55" s="6"/>
      <c r="AL55" s="6"/>
      <c r="AM55" s="6"/>
      <c r="AN55" s="6"/>
      <c r="AO55" s="6"/>
      <c r="AP55" s="6"/>
    </row>
    <row r="56" spans="1:42" ht="15.75" customHeight="1" x14ac:dyDescent="0.15">
      <c r="A56" s="5" t="s">
        <v>401</v>
      </c>
      <c r="B56" s="6" t="s">
        <v>402</v>
      </c>
      <c r="C56" s="7">
        <v>33160417</v>
      </c>
      <c r="D56" s="8" t="s">
        <v>403</v>
      </c>
      <c r="E56" s="10" t="s">
        <v>228</v>
      </c>
      <c r="F56" s="7">
        <v>1</v>
      </c>
      <c r="G56" s="7">
        <v>1</v>
      </c>
      <c r="H56" s="7">
        <v>0</v>
      </c>
      <c r="I56" s="7">
        <v>0</v>
      </c>
      <c r="J56" s="7">
        <v>0</v>
      </c>
      <c r="K56" s="7">
        <v>1</v>
      </c>
      <c r="L56" s="7">
        <f t="shared" si="0"/>
        <v>3</v>
      </c>
      <c r="M56" s="5" t="s">
        <v>397</v>
      </c>
      <c r="N56" s="6" t="s">
        <v>404</v>
      </c>
      <c r="O56" s="6" t="s">
        <v>405</v>
      </c>
      <c r="P56" s="6" t="s">
        <v>406</v>
      </c>
      <c r="Q56" s="7">
        <v>2020</v>
      </c>
      <c r="R56" s="6" t="s">
        <v>59</v>
      </c>
      <c r="S56" s="6" t="s">
        <v>407</v>
      </c>
      <c r="T56" s="6"/>
      <c r="V56" s="6"/>
      <c r="W56" s="9"/>
      <c r="X56" s="9"/>
      <c r="Y56" s="9"/>
      <c r="Z56" s="6"/>
      <c r="AA56" s="6"/>
      <c r="AB56" s="6"/>
      <c r="AC56" s="6"/>
      <c r="AD56" s="6"/>
      <c r="AE56" s="6"/>
      <c r="AF56" s="6"/>
      <c r="AG56" s="6"/>
      <c r="AH56" s="6"/>
      <c r="AI56" s="6"/>
      <c r="AJ56" s="6"/>
      <c r="AK56" s="6"/>
      <c r="AL56" s="6"/>
      <c r="AM56" s="6"/>
      <c r="AN56" s="6"/>
      <c r="AO56" s="6"/>
      <c r="AP56" s="6"/>
    </row>
    <row r="57" spans="1:42" ht="15.75" customHeight="1" x14ac:dyDescent="0.15">
      <c r="A57" s="5" t="s">
        <v>408</v>
      </c>
      <c r="B57" s="6" t="s">
        <v>409</v>
      </c>
      <c r="C57" s="7">
        <v>28327148</v>
      </c>
      <c r="D57" s="8" t="s">
        <v>410</v>
      </c>
      <c r="E57" s="10" t="s">
        <v>228</v>
      </c>
      <c r="F57" s="7">
        <v>1</v>
      </c>
      <c r="G57" s="7">
        <v>1</v>
      </c>
      <c r="H57" s="7">
        <v>0</v>
      </c>
      <c r="I57" s="7">
        <v>0</v>
      </c>
      <c r="J57" s="7">
        <v>1</v>
      </c>
      <c r="K57" s="7">
        <v>0</v>
      </c>
      <c r="L57" s="7">
        <f t="shared" si="0"/>
        <v>3</v>
      </c>
      <c r="M57" s="5" t="s">
        <v>411</v>
      </c>
      <c r="N57" s="6" t="s">
        <v>412</v>
      </c>
      <c r="O57" s="6" t="s">
        <v>413</v>
      </c>
      <c r="P57" s="6" t="s">
        <v>414</v>
      </c>
      <c r="Q57" s="7">
        <v>2017</v>
      </c>
      <c r="R57" s="6" t="s">
        <v>135</v>
      </c>
      <c r="S57" s="6" t="s">
        <v>27</v>
      </c>
      <c r="T57" s="6"/>
      <c r="V57" s="6"/>
      <c r="W57" s="9"/>
      <c r="X57" s="9"/>
      <c r="Y57" s="9"/>
      <c r="Z57" s="6"/>
      <c r="AA57" s="6"/>
      <c r="AB57" s="6"/>
      <c r="AC57" s="6"/>
      <c r="AD57" s="6"/>
      <c r="AE57" s="6"/>
      <c r="AF57" s="6"/>
      <c r="AG57" s="6"/>
      <c r="AH57" s="6"/>
      <c r="AI57" s="6"/>
      <c r="AJ57" s="6"/>
      <c r="AK57" s="6"/>
      <c r="AL57" s="6"/>
      <c r="AM57" s="6"/>
      <c r="AN57" s="6"/>
      <c r="AO57" s="6"/>
      <c r="AP57" s="6"/>
    </row>
    <row r="58" spans="1:42" ht="15.75" customHeight="1" x14ac:dyDescent="0.15">
      <c r="A58" s="5" t="s">
        <v>415</v>
      </c>
      <c r="B58" s="6" t="s">
        <v>416</v>
      </c>
      <c r="C58" s="7">
        <v>32660999</v>
      </c>
      <c r="D58" s="8" t="s">
        <v>417</v>
      </c>
      <c r="E58" s="10" t="s">
        <v>228</v>
      </c>
      <c r="F58" s="7">
        <v>1</v>
      </c>
      <c r="G58" s="7">
        <v>1</v>
      </c>
      <c r="H58" s="7">
        <v>0</v>
      </c>
      <c r="I58" s="7">
        <v>0</v>
      </c>
      <c r="J58" s="7">
        <v>1</v>
      </c>
      <c r="K58" s="7">
        <v>0</v>
      </c>
      <c r="L58" s="7">
        <f t="shared" si="0"/>
        <v>3</v>
      </c>
      <c r="M58" s="5" t="s">
        <v>411</v>
      </c>
      <c r="N58" s="6" t="s">
        <v>418</v>
      </c>
      <c r="O58" s="6" t="s">
        <v>419</v>
      </c>
      <c r="P58" s="6" t="s">
        <v>420</v>
      </c>
      <c r="Q58" s="7">
        <v>2020</v>
      </c>
      <c r="R58" s="6" t="s">
        <v>50</v>
      </c>
      <c r="S58" s="6" t="s">
        <v>421</v>
      </c>
      <c r="T58" s="6"/>
      <c r="V58" s="6"/>
      <c r="W58" s="9"/>
      <c r="X58" s="9"/>
      <c r="Y58" s="9"/>
      <c r="Z58" s="6"/>
      <c r="AA58" s="6"/>
      <c r="AB58" s="6"/>
      <c r="AC58" s="6"/>
      <c r="AD58" s="6"/>
      <c r="AE58" s="6"/>
      <c r="AF58" s="6"/>
      <c r="AG58" s="6"/>
      <c r="AH58" s="6"/>
      <c r="AI58" s="6"/>
      <c r="AJ58" s="6"/>
      <c r="AK58" s="6"/>
      <c r="AL58" s="6"/>
      <c r="AM58" s="6"/>
      <c r="AN58" s="6"/>
      <c r="AO58" s="6"/>
      <c r="AP58" s="6"/>
    </row>
    <row r="59" spans="1:42" ht="15.75" customHeight="1" x14ac:dyDescent="0.15">
      <c r="A59" s="5" t="s">
        <v>422</v>
      </c>
      <c r="B59" s="6" t="s">
        <v>423</v>
      </c>
      <c r="C59" s="7">
        <v>33020152</v>
      </c>
      <c r="D59" s="8" t="s">
        <v>424</v>
      </c>
      <c r="E59" s="10" t="s">
        <v>228</v>
      </c>
      <c r="F59" s="7">
        <v>1</v>
      </c>
      <c r="G59" s="7">
        <v>1</v>
      </c>
      <c r="H59" s="7">
        <v>1</v>
      </c>
      <c r="I59" s="7">
        <v>0</v>
      </c>
      <c r="J59" s="7">
        <v>1</v>
      </c>
      <c r="K59" s="7">
        <v>1</v>
      </c>
      <c r="L59" s="7">
        <f t="shared" si="0"/>
        <v>5</v>
      </c>
      <c r="M59" s="5" t="s">
        <v>411</v>
      </c>
      <c r="N59" s="6" t="s">
        <v>425</v>
      </c>
      <c r="O59" s="6" t="s">
        <v>426</v>
      </c>
      <c r="P59" s="6" t="s">
        <v>427</v>
      </c>
      <c r="Q59" s="7">
        <v>2020</v>
      </c>
      <c r="R59" s="6" t="s">
        <v>59</v>
      </c>
      <c r="S59" s="6" t="s">
        <v>421</v>
      </c>
      <c r="T59" s="6"/>
      <c r="V59" s="6"/>
      <c r="W59" s="9"/>
      <c r="X59" s="9"/>
      <c r="Y59" s="9"/>
      <c r="Z59" s="6"/>
      <c r="AA59" s="6"/>
      <c r="AB59" s="6"/>
      <c r="AC59" s="6"/>
      <c r="AD59" s="6"/>
      <c r="AE59" s="6"/>
      <c r="AF59" s="6"/>
      <c r="AG59" s="6"/>
      <c r="AH59" s="6"/>
      <c r="AI59" s="6"/>
      <c r="AJ59" s="6"/>
      <c r="AK59" s="6"/>
      <c r="AL59" s="6"/>
      <c r="AM59" s="6"/>
      <c r="AN59" s="6"/>
      <c r="AO59" s="6"/>
      <c r="AP59" s="6"/>
    </row>
    <row r="60" spans="1:42" ht="15.75" customHeight="1" x14ac:dyDescent="0.15">
      <c r="A60" s="5" t="s">
        <v>428</v>
      </c>
      <c r="B60" s="6" t="s">
        <v>429</v>
      </c>
      <c r="C60" s="7">
        <v>33078701</v>
      </c>
      <c r="D60" s="8" t="s">
        <v>430</v>
      </c>
      <c r="E60" s="10" t="s">
        <v>228</v>
      </c>
      <c r="F60" s="7">
        <v>1</v>
      </c>
      <c r="G60" s="7">
        <v>1</v>
      </c>
      <c r="H60" s="7">
        <v>1</v>
      </c>
      <c r="I60" s="7">
        <v>1</v>
      </c>
      <c r="J60" s="7">
        <v>1</v>
      </c>
      <c r="K60" s="7">
        <v>0</v>
      </c>
      <c r="L60" s="7">
        <f t="shared" si="0"/>
        <v>5</v>
      </c>
      <c r="M60" s="5" t="s">
        <v>431</v>
      </c>
      <c r="N60" s="6" t="s">
        <v>432</v>
      </c>
      <c r="O60" s="6" t="s">
        <v>433</v>
      </c>
      <c r="P60" s="6" t="s">
        <v>434</v>
      </c>
      <c r="Q60" s="7">
        <v>2020</v>
      </c>
      <c r="R60" s="6" t="s">
        <v>150</v>
      </c>
      <c r="S60" s="6" t="s">
        <v>43</v>
      </c>
      <c r="T60" s="6"/>
      <c r="V60" s="6"/>
      <c r="W60" s="9"/>
      <c r="X60" s="9"/>
      <c r="Y60" s="9"/>
      <c r="Z60" s="6"/>
      <c r="AA60" s="6"/>
      <c r="AB60" s="6"/>
      <c r="AC60" s="6"/>
      <c r="AD60" s="6"/>
      <c r="AE60" s="6"/>
      <c r="AF60" s="6"/>
      <c r="AG60" s="6"/>
      <c r="AH60" s="6"/>
      <c r="AI60" s="6"/>
      <c r="AJ60" s="6"/>
      <c r="AK60" s="6"/>
      <c r="AL60" s="6"/>
      <c r="AM60" s="6"/>
      <c r="AN60" s="6"/>
      <c r="AO60" s="6"/>
      <c r="AP60" s="6"/>
    </row>
    <row r="61" spans="1:42" ht="13" x14ac:dyDescent="0.15">
      <c r="A61" s="5" t="s">
        <v>435</v>
      </c>
      <c r="B61" s="6" t="s">
        <v>436</v>
      </c>
      <c r="C61" s="7">
        <v>34320992</v>
      </c>
      <c r="D61" s="8" t="s">
        <v>437</v>
      </c>
      <c r="E61" s="10" t="s">
        <v>228</v>
      </c>
      <c r="F61" s="7">
        <v>1</v>
      </c>
      <c r="G61" s="7">
        <v>1</v>
      </c>
      <c r="H61" s="7">
        <v>0</v>
      </c>
      <c r="I61" s="7">
        <v>0</v>
      </c>
      <c r="J61" s="7">
        <v>1</v>
      </c>
      <c r="K61" s="7">
        <v>1</v>
      </c>
      <c r="L61" s="7">
        <f t="shared" si="0"/>
        <v>4</v>
      </c>
      <c r="M61" s="5" t="s">
        <v>431</v>
      </c>
      <c r="N61" s="6" t="s">
        <v>438</v>
      </c>
      <c r="O61" s="6" t="s">
        <v>439</v>
      </c>
      <c r="P61" s="6" t="s">
        <v>440</v>
      </c>
      <c r="Q61" s="7">
        <v>2021</v>
      </c>
      <c r="R61" s="6" t="s">
        <v>42</v>
      </c>
      <c r="S61" s="6" t="s">
        <v>27</v>
      </c>
      <c r="T61" s="6"/>
      <c r="V61" s="6"/>
      <c r="W61" s="9"/>
      <c r="X61" s="9"/>
      <c r="Y61" s="9"/>
      <c r="Z61" s="6"/>
      <c r="AA61" s="6"/>
      <c r="AB61" s="6"/>
      <c r="AC61" s="6"/>
      <c r="AD61" s="6"/>
      <c r="AE61" s="6"/>
      <c r="AF61" s="6"/>
      <c r="AG61" s="6"/>
      <c r="AH61" s="6"/>
      <c r="AI61" s="6"/>
      <c r="AJ61" s="6"/>
      <c r="AK61" s="6"/>
      <c r="AL61" s="6"/>
      <c r="AM61" s="6"/>
      <c r="AN61" s="6"/>
      <c r="AO61" s="6"/>
      <c r="AP61" s="6"/>
    </row>
    <row r="62" spans="1:42" ht="13" x14ac:dyDescent="0.15">
      <c r="A62" s="5" t="s">
        <v>441</v>
      </c>
      <c r="B62" s="6" t="s">
        <v>442</v>
      </c>
      <c r="C62" s="7">
        <v>37349311</v>
      </c>
      <c r="D62" s="8" t="s">
        <v>443</v>
      </c>
      <c r="E62" s="10" t="s">
        <v>228</v>
      </c>
      <c r="F62" s="7">
        <v>1</v>
      </c>
      <c r="G62" s="7">
        <v>1</v>
      </c>
      <c r="H62" s="7">
        <v>1</v>
      </c>
      <c r="I62" s="7">
        <v>1</v>
      </c>
      <c r="J62" s="7">
        <v>1</v>
      </c>
      <c r="K62" s="7">
        <v>1</v>
      </c>
      <c r="L62" s="7">
        <f t="shared" si="0"/>
        <v>6</v>
      </c>
      <c r="M62" s="5" t="s">
        <v>444</v>
      </c>
      <c r="N62" s="6" t="s">
        <v>445</v>
      </c>
      <c r="O62" s="6" t="s">
        <v>446</v>
      </c>
      <c r="P62" s="6" t="s">
        <v>447</v>
      </c>
      <c r="Q62" s="7">
        <v>2023</v>
      </c>
      <c r="R62" s="6" t="s">
        <v>88</v>
      </c>
      <c r="S62" s="6" t="s">
        <v>448</v>
      </c>
      <c r="T62" s="6"/>
      <c r="V62" s="6"/>
      <c r="W62" s="9"/>
      <c r="X62" s="9"/>
      <c r="Y62" s="9"/>
      <c r="Z62" s="6"/>
      <c r="AA62" s="6"/>
      <c r="AB62" s="6"/>
      <c r="AC62" s="6"/>
      <c r="AD62" s="6"/>
      <c r="AE62" s="6"/>
      <c r="AF62" s="6"/>
      <c r="AG62" s="6"/>
      <c r="AH62" s="6"/>
      <c r="AI62" s="6"/>
      <c r="AJ62" s="6"/>
      <c r="AK62" s="6"/>
      <c r="AL62" s="6"/>
      <c r="AM62" s="6"/>
      <c r="AN62" s="6"/>
      <c r="AO62" s="6"/>
      <c r="AP62" s="6"/>
    </row>
    <row r="63" spans="1:42" ht="13" x14ac:dyDescent="0.15">
      <c r="A63" s="5" t="s">
        <v>449</v>
      </c>
      <c r="B63" s="6" t="s">
        <v>450</v>
      </c>
      <c r="C63" s="7">
        <v>35768869</v>
      </c>
      <c r="D63" s="8" t="s">
        <v>451</v>
      </c>
      <c r="E63" s="10" t="s">
        <v>228</v>
      </c>
      <c r="F63" s="7">
        <v>1</v>
      </c>
      <c r="G63" s="7">
        <v>1</v>
      </c>
      <c r="H63" s="7">
        <v>0</v>
      </c>
      <c r="I63" s="7">
        <v>1</v>
      </c>
      <c r="J63" s="7">
        <v>1</v>
      </c>
      <c r="K63" s="7">
        <v>1</v>
      </c>
      <c r="L63" s="7">
        <f t="shared" si="0"/>
        <v>5</v>
      </c>
      <c r="M63" s="5" t="s">
        <v>281</v>
      </c>
      <c r="N63" s="6" t="s">
        <v>452</v>
      </c>
      <c r="O63" s="6" t="s">
        <v>453</v>
      </c>
      <c r="P63" s="6" t="s">
        <v>454</v>
      </c>
      <c r="Q63" s="7">
        <v>2022</v>
      </c>
      <c r="R63" s="6" t="s">
        <v>88</v>
      </c>
      <c r="S63" s="6" t="s">
        <v>27</v>
      </c>
      <c r="T63" s="6"/>
      <c r="V63" s="6"/>
      <c r="W63" s="9"/>
      <c r="X63" s="9"/>
      <c r="Y63" s="9"/>
      <c r="Z63" s="6"/>
      <c r="AA63" s="6"/>
      <c r="AB63" s="6"/>
      <c r="AC63" s="6"/>
      <c r="AD63" s="6"/>
      <c r="AE63" s="6"/>
      <c r="AF63" s="6"/>
      <c r="AG63" s="6"/>
      <c r="AH63" s="6"/>
      <c r="AI63" s="6"/>
      <c r="AJ63" s="6"/>
      <c r="AK63" s="6"/>
      <c r="AL63" s="6"/>
      <c r="AM63" s="6"/>
      <c r="AN63" s="6"/>
      <c r="AO63" s="6"/>
      <c r="AP63" s="6"/>
    </row>
    <row r="64" spans="1:42" ht="13" x14ac:dyDescent="0.15">
      <c r="A64" s="5" t="s">
        <v>455</v>
      </c>
      <c r="B64" s="6" t="s">
        <v>456</v>
      </c>
      <c r="C64" s="7">
        <v>37750720</v>
      </c>
      <c r="D64" s="8" t="s">
        <v>457</v>
      </c>
      <c r="E64" s="10" t="s">
        <v>228</v>
      </c>
      <c r="F64" s="7">
        <v>1</v>
      </c>
      <c r="G64" s="7">
        <v>1</v>
      </c>
      <c r="H64" s="7">
        <v>0</v>
      </c>
      <c r="I64" s="7">
        <v>1</v>
      </c>
      <c r="J64" s="7">
        <v>1</v>
      </c>
      <c r="K64" s="7">
        <v>1</v>
      </c>
      <c r="L64" s="7">
        <f t="shared" si="0"/>
        <v>5</v>
      </c>
      <c r="M64" s="5" t="s">
        <v>458</v>
      </c>
      <c r="N64" s="6" t="s">
        <v>459</v>
      </c>
      <c r="O64" s="6" t="s">
        <v>460</v>
      </c>
      <c r="P64" s="6" t="s">
        <v>461</v>
      </c>
      <c r="Q64" s="7">
        <v>2023</v>
      </c>
      <c r="R64" s="6" t="s">
        <v>80</v>
      </c>
      <c r="S64" s="6" t="s">
        <v>462</v>
      </c>
      <c r="T64" s="6"/>
      <c r="V64" s="6"/>
      <c r="W64" s="9"/>
      <c r="X64" s="9"/>
      <c r="Y64" s="9"/>
      <c r="Z64" s="6"/>
      <c r="AA64" s="6"/>
      <c r="AB64" s="6"/>
      <c r="AC64" s="6"/>
      <c r="AD64" s="6"/>
      <c r="AE64" s="6"/>
      <c r="AF64" s="6"/>
      <c r="AG64" s="6"/>
      <c r="AH64" s="6"/>
      <c r="AI64" s="6"/>
      <c r="AJ64" s="6"/>
      <c r="AK64" s="6"/>
      <c r="AL64" s="6"/>
      <c r="AM64" s="6"/>
      <c r="AN64" s="6"/>
      <c r="AO64" s="6"/>
      <c r="AP64" s="6"/>
    </row>
    <row r="65" spans="1:42" ht="13" x14ac:dyDescent="0.15">
      <c r="A65" s="5" t="s">
        <v>463</v>
      </c>
      <c r="B65" s="6" t="s">
        <v>464</v>
      </c>
      <c r="C65" s="7">
        <v>39028193</v>
      </c>
      <c r="D65" s="8" t="s">
        <v>465</v>
      </c>
      <c r="E65" s="10" t="s">
        <v>228</v>
      </c>
      <c r="F65" s="7">
        <v>1</v>
      </c>
      <c r="G65" s="7">
        <v>1</v>
      </c>
      <c r="H65" s="7">
        <v>0</v>
      </c>
      <c r="I65" s="7">
        <v>1</v>
      </c>
      <c r="J65" s="7">
        <v>1</v>
      </c>
      <c r="K65" s="7">
        <v>1</v>
      </c>
      <c r="L65" s="7">
        <f t="shared" si="0"/>
        <v>5</v>
      </c>
      <c r="M65" s="5" t="s">
        <v>411</v>
      </c>
      <c r="N65" s="6" t="s">
        <v>466</v>
      </c>
      <c r="O65" s="6" t="s">
        <v>467</v>
      </c>
      <c r="P65" s="6" t="s">
        <v>468</v>
      </c>
      <c r="Q65" s="7">
        <v>2024</v>
      </c>
      <c r="R65" s="6" t="s">
        <v>96</v>
      </c>
      <c r="S65" s="6" t="s">
        <v>421</v>
      </c>
      <c r="T65" s="6"/>
      <c r="V65" s="6"/>
      <c r="W65" s="9"/>
      <c r="X65" s="9"/>
      <c r="Y65" s="9"/>
      <c r="Z65" s="6"/>
      <c r="AA65" s="6"/>
      <c r="AB65" s="6"/>
      <c r="AC65" s="6"/>
      <c r="AD65" s="6"/>
      <c r="AE65" s="6"/>
      <c r="AF65" s="6"/>
      <c r="AG65" s="6"/>
      <c r="AH65" s="6"/>
      <c r="AI65" s="6"/>
      <c r="AJ65" s="6"/>
      <c r="AK65" s="6"/>
      <c r="AL65" s="6"/>
      <c r="AM65" s="6"/>
      <c r="AN65" s="6"/>
      <c r="AO65" s="6"/>
      <c r="AP65" s="6"/>
    </row>
    <row r="66" spans="1:42" ht="13" x14ac:dyDescent="0.15">
      <c r="A66" s="5" t="s">
        <v>469</v>
      </c>
      <c r="B66" s="6" t="s">
        <v>470</v>
      </c>
      <c r="C66" s="7">
        <v>33632242</v>
      </c>
      <c r="D66" s="8" t="s">
        <v>471</v>
      </c>
      <c r="E66" s="10" t="s">
        <v>228</v>
      </c>
      <c r="F66" s="7">
        <v>1</v>
      </c>
      <c r="G66" s="7">
        <v>1</v>
      </c>
      <c r="H66" s="7">
        <v>1</v>
      </c>
      <c r="I66" s="7">
        <v>1</v>
      </c>
      <c r="J66" s="7">
        <v>1</v>
      </c>
      <c r="K66" s="7">
        <v>1</v>
      </c>
      <c r="L66" s="7">
        <f t="shared" si="0"/>
        <v>6</v>
      </c>
      <c r="M66" s="5" t="s">
        <v>411</v>
      </c>
      <c r="N66" s="6" t="s">
        <v>472</v>
      </c>
      <c r="O66" s="6" t="s">
        <v>473</v>
      </c>
      <c r="P66" s="6" t="s">
        <v>474</v>
      </c>
      <c r="Q66" s="7">
        <v>2021</v>
      </c>
      <c r="R66" s="6" t="s">
        <v>26</v>
      </c>
      <c r="S66" s="6" t="s">
        <v>27</v>
      </c>
      <c r="T66" s="6"/>
      <c r="V66" s="6"/>
      <c r="W66" s="9"/>
      <c r="X66" s="9"/>
      <c r="Y66" s="9"/>
      <c r="Z66" s="6"/>
      <c r="AA66" s="6"/>
      <c r="AB66" s="6"/>
      <c r="AC66" s="6"/>
      <c r="AD66" s="6"/>
      <c r="AE66" s="6"/>
      <c r="AF66" s="6"/>
      <c r="AG66" s="6"/>
      <c r="AH66" s="6"/>
      <c r="AI66" s="6"/>
      <c r="AJ66" s="6"/>
      <c r="AK66" s="6"/>
      <c r="AL66" s="6"/>
      <c r="AM66" s="6"/>
      <c r="AN66" s="6"/>
    </row>
    <row r="67" spans="1:42" ht="13" x14ac:dyDescent="0.15">
      <c r="A67" s="5" t="s">
        <v>475</v>
      </c>
      <c r="B67" s="6" t="s">
        <v>476</v>
      </c>
      <c r="C67" s="7">
        <v>25249358</v>
      </c>
      <c r="D67" s="8" t="s">
        <v>477</v>
      </c>
      <c r="E67" s="10" t="s">
        <v>228</v>
      </c>
      <c r="F67" s="7">
        <v>1</v>
      </c>
      <c r="G67" s="7">
        <v>1</v>
      </c>
      <c r="H67" s="7">
        <v>0</v>
      </c>
      <c r="I67" s="7">
        <v>1</v>
      </c>
      <c r="J67" s="7">
        <v>1</v>
      </c>
      <c r="K67" s="7">
        <v>1</v>
      </c>
      <c r="L67" s="7">
        <f t="shared" si="0"/>
        <v>5</v>
      </c>
      <c r="M67" s="5" t="s">
        <v>187</v>
      </c>
      <c r="N67" s="6" t="s">
        <v>478</v>
      </c>
      <c r="O67" s="6" t="s">
        <v>479</v>
      </c>
      <c r="P67" s="6" t="s">
        <v>480</v>
      </c>
      <c r="Q67" s="7">
        <v>2014</v>
      </c>
      <c r="R67" s="6" t="s">
        <v>59</v>
      </c>
      <c r="S67" s="6" t="s">
        <v>325</v>
      </c>
      <c r="T67" s="6"/>
      <c r="V67" s="6"/>
      <c r="W67" s="9"/>
      <c r="X67" s="9"/>
      <c r="Y67" s="9"/>
      <c r="Z67" s="6"/>
      <c r="AA67" s="6"/>
      <c r="AB67" s="6"/>
      <c r="AC67" s="6"/>
      <c r="AD67" s="6"/>
      <c r="AE67" s="6"/>
      <c r="AF67" s="6"/>
      <c r="AG67" s="6"/>
      <c r="AH67" s="6"/>
      <c r="AI67" s="6"/>
      <c r="AJ67" s="6"/>
      <c r="AK67" s="6"/>
      <c r="AL67" s="6"/>
      <c r="AM67" s="6"/>
      <c r="AN67" s="6"/>
      <c r="AO67" s="6"/>
      <c r="AP67" s="6"/>
    </row>
    <row r="68" spans="1:42" ht="13" x14ac:dyDescent="0.15">
      <c r="A68" s="5" t="s">
        <v>481</v>
      </c>
      <c r="B68" s="6" t="s">
        <v>482</v>
      </c>
      <c r="C68" s="7">
        <v>37028468</v>
      </c>
      <c r="D68" s="8" t="s">
        <v>483</v>
      </c>
      <c r="E68" s="10" t="s">
        <v>228</v>
      </c>
      <c r="F68" s="7">
        <v>1</v>
      </c>
      <c r="G68" s="7">
        <v>1</v>
      </c>
      <c r="H68" s="7">
        <v>0</v>
      </c>
      <c r="I68" s="7">
        <v>1</v>
      </c>
      <c r="J68" s="7">
        <v>1</v>
      </c>
      <c r="K68" s="7">
        <v>1</v>
      </c>
      <c r="L68" s="7">
        <f t="shared" si="0"/>
        <v>5</v>
      </c>
      <c r="M68" s="5" t="s">
        <v>76</v>
      </c>
      <c r="N68" s="6" t="s">
        <v>484</v>
      </c>
      <c r="O68" s="6" t="s">
        <v>485</v>
      </c>
      <c r="P68" s="6" t="s">
        <v>486</v>
      </c>
      <c r="Q68" s="7">
        <v>2023</v>
      </c>
      <c r="R68" s="6" t="s">
        <v>42</v>
      </c>
      <c r="S68" s="6" t="s">
        <v>89</v>
      </c>
      <c r="T68" s="6"/>
      <c r="V68" s="6"/>
      <c r="W68" s="9"/>
      <c r="X68" s="9"/>
      <c r="Y68" s="9"/>
      <c r="Z68" s="6"/>
      <c r="AA68" s="6"/>
      <c r="AB68" s="6"/>
      <c r="AC68" s="6"/>
      <c r="AD68" s="6"/>
      <c r="AE68" s="6"/>
      <c r="AF68" s="6"/>
      <c r="AG68" s="6"/>
      <c r="AH68" s="6"/>
      <c r="AI68" s="6"/>
      <c r="AJ68" s="6"/>
      <c r="AK68" s="6"/>
      <c r="AL68" s="6"/>
      <c r="AM68" s="6"/>
      <c r="AN68" s="6"/>
      <c r="AO68" s="6"/>
      <c r="AP68" s="6"/>
    </row>
    <row r="69" spans="1:42" ht="13" x14ac:dyDescent="0.15">
      <c r="A69" s="5" t="s">
        <v>487</v>
      </c>
      <c r="B69" s="6" t="s">
        <v>488</v>
      </c>
      <c r="C69" s="6">
        <v>40227034</v>
      </c>
      <c r="D69" s="8" t="s">
        <v>489</v>
      </c>
      <c r="E69" s="10" t="s">
        <v>228</v>
      </c>
      <c r="F69" s="7">
        <v>1</v>
      </c>
      <c r="G69" s="7">
        <v>1</v>
      </c>
      <c r="H69" s="7">
        <v>0</v>
      </c>
      <c r="I69" s="7">
        <v>1</v>
      </c>
      <c r="J69" s="7">
        <v>0</v>
      </c>
      <c r="K69" s="7">
        <v>1</v>
      </c>
      <c r="L69" s="7">
        <f t="shared" si="0"/>
        <v>4</v>
      </c>
      <c r="M69" s="5" t="s">
        <v>76</v>
      </c>
      <c r="N69" s="6" t="s">
        <v>490</v>
      </c>
      <c r="O69" s="6" t="s">
        <v>491</v>
      </c>
      <c r="P69" s="6" t="s">
        <v>492</v>
      </c>
      <c r="Q69" s="7">
        <v>2025</v>
      </c>
      <c r="R69" s="6" t="s">
        <v>119</v>
      </c>
      <c r="S69" s="6" t="s">
        <v>421</v>
      </c>
      <c r="T69" s="6"/>
      <c r="V69" s="6"/>
      <c r="W69" s="9"/>
      <c r="X69" s="9"/>
      <c r="Y69" s="9"/>
      <c r="Z69" s="6"/>
      <c r="AA69" s="6"/>
      <c r="AB69" s="6"/>
      <c r="AC69" s="6"/>
      <c r="AD69" s="6"/>
      <c r="AE69" s="6"/>
      <c r="AF69" s="6"/>
      <c r="AG69" s="6"/>
      <c r="AH69" s="6"/>
      <c r="AI69" s="6"/>
      <c r="AJ69" s="6"/>
      <c r="AK69" s="6"/>
      <c r="AL69" s="6"/>
      <c r="AM69" s="6"/>
    </row>
    <row r="70" spans="1:42" ht="13" x14ac:dyDescent="0.15">
      <c r="A70" s="5" t="s">
        <v>493</v>
      </c>
      <c r="B70" s="6" t="s">
        <v>494</v>
      </c>
      <c r="C70" s="6">
        <v>39936828</v>
      </c>
      <c r="D70" s="8" t="s">
        <v>495</v>
      </c>
      <c r="E70" s="10" t="s">
        <v>228</v>
      </c>
      <c r="F70" s="7">
        <v>1</v>
      </c>
      <c r="G70" s="7">
        <v>1</v>
      </c>
      <c r="H70" s="7">
        <v>0</v>
      </c>
      <c r="I70" s="7">
        <v>1</v>
      </c>
      <c r="J70" s="7">
        <v>1</v>
      </c>
      <c r="K70" s="7">
        <v>1</v>
      </c>
      <c r="L70" s="7">
        <f t="shared" si="0"/>
        <v>5</v>
      </c>
      <c r="M70" s="5" t="s">
        <v>496</v>
      </c>
      <c r="N70" s="6" t="s">
        <v>497</v>
      </c>
      <c r="O70" s="6" t="s">
        <v>498</v>
      </c>
      <c r="P70" s="6" t="s">
        <v>499</v>
      </c>
      <c r="Q70" s="7">
        <v>2025</v>
      </c>
      <c r="R70" s="6" t="s">
        <v>42</v>
      </c>
      <c r="S70" s="6" t="s">
        <v>224</v>
      </c>
      <c r="T70" s="6"/>
      <c r="V70" s="6"/>
      <c r="W70" s="9"/>
      <c r="X70" s="9"/>
      <c r="Y70" s="9"/>
      <c r="Z70" s="6"/>
      <c r="AA70" s="6"/>
      <c r="AB70" s="6"/>
      <c r="AC70" s="6"/>
      <c r="AD70" s="6"/>
      <c r="AE70" s="6"/>
      <c r="AF70" s="6"/>
      <c r="AG70" s="6"/>
      <c r="AH70" s="6"/>
      <c r="AI70" s="6"/>
      <c r="AJ70" s="6"/>
      <c r="AK70" s="6"/>
      <c r="AL70" s="6"/>
      <c r="AM70" s="6"/>
    </row>
    <row r="71" spans="1:42" ht="13" x14ac:dyDescent="0.15">
      <c r="A71" s="5" t="s">
        <v>500</v>
      </c>
      <c r="B71" s="6" t="s">
        <v>501</v>
      </c>
      <c r="C71" s="6">
        <v>39846779</v>
      </c>
      <c r="D71" s="8" t="s">
        <v>502</v>
      </c>
      <c r="E71" s="10" t="s">
        <v>228</v>
      </c>
      <c r="F71" s="7">
        <v>1</v>
      </c>
      <c r="G71" s="7">
        <v>1</v>
      </c>
      <c r="H71" s="7">
        <v>0</v>
      </c>
      <c r="I71" s="7">
        <v>1</v>
      </c>
      <c r="J71" s="7">
        <v>0</v>
      </c>
      <c r="K71" s="7">
        <v>1</v>
      </c>
      <c r="L71" s="7">
        <f t="shared" si="0"/>
        <v>4</v>
      </c>
      <c r="M71" s="5" t="s">
        <v>342</v>
      </c>
      <c r="N71" s="6" t="s">
        <v>503</v>
      </c>
      <c r="O71" s="6" t="s">
        <v>504</v>
      </c>
      <c r="P71" s="6" t="s">
        <v>505</v>
      </c>
      <c r="Q71" s="7">
        <v>2025</v>
      </c>
      <c r="R71" s="6" t="s">
        <v>135</v>
      </c>
      <c r="S71" s="6" t="s">
        <v>104</v>
      </c>
      <c r="T71" s="6"/>
      <c r="V71" s="6"/>
      <c r="W71" s="9"/>
      <c r="X71" s="9"/>
      <c r="Y71" s="9"/>
      <c r="Z71" s="6"/>
      <c r="AA71" s="6"/>
      <c r="AB71" s="6"/>
      <c r="AC71" s="6"/>
      <c r="AD71" s="6"/>
      <c r="AE71" s="6"/>
      <c r="AF71" s="6"/>
      <c r="AG71" s="6"/>
      <c r="AH71" s="6"/>
      <c r="AI71" s="6"/>
      <c r="AJ71" s="6"/>
      <c r="AK71" s="6"/>
      <c r="AL71" s="6"/>
      <c r="AM71" s="6"/>
    </row>
    <row r="72" spans="1:42" ht="13" x14ac:dyDescent="0.15">
      <c r="A72" s="5" t="s">
        <v>506</v>
      </c>
      <c r="B72" s="6" t="s">
        <v>507</v>
      </c>
      <c r="C72" s="6">
        <v>40219818</v>
      </c>
      <c r="D72" s="8" t="s">
        <v>508</v>
      </c>
      <c r="E72" s="10" t="s">
        <v>228</v>
      </c>
      <c r="F72" s="7">
        <v>1</v>
      </c>
      <c r="G72" s="7">
        <v>1</v>
      </c>
      <c r="H72" s="7">
        <v>1</v>
      </c>
      <c r="I72" s="7">
        <v>1</v>
      </c>
      <c r="J72" s="7">
        <v>1</v>
      </c>
      <c r="K72" s="7">
        <v>1</v>
      </c>
      <c r="L72" s="7">
        <f t="shared" si="0"/>
        <v>6</v>
      </c>
      <c r="M72" s="5" t="s">
        <v>76</v>
      </c>
      <c r="N72" s="6" t="s">
        <v>509</v>
      </c>
      <c r="O72" s="6" t="s">
        <v>510</v>
      </c>
      <c r="P72" s="6" t="s">
        <v>511</v>
      </c>
      <c r="Q72" s="7">
        <v>2025</v>
      </c>
      <c r="R72" s="6" t="s">
        <v>50</v>
      </c>
      <c r="S72" s="6" t="s">
        <v>325</v>
      </c>
      <c r="T72" s="6"/>
      <c r="V72" s="6"/>
      <c r="W72" s="9"/>
      <c r="X72" s="9"/>
      <c r="Y72" s="9"/>
      <c r="Z72" s="6"/>
      <c r="AA72" s="6"/>
      <c r="AB72" s="6"/>
      <c r="AC72" s="6"/>
      <c r="AD72" s="6"/>
      <c r="AE72" s="6"/>
      <c r="AF72" s="6"/>
      <c r="AG72" s="6"/>
      <c r="AH72" s="6"/>
      <c r="AI72" s="6"/>
      <c r="AJ72" s="6"/>
      <c r="AK72" s="6"/>
      <c r="AL72" s="6"/>
      <c r="AM72" s="6"/>
    </row>
    <row r="73" spans="1:42" ht="13" x14ac:dyDescent="0.15">
      <c r="A73" s="5" t="s">
        <v>512</v>
      </c>
      <c r="B73" s="6" t="s">
        <v>513</v>
      </c>
      <c r="C73" s="6">
        <v>39413897</v>
      </c>
      <c r="D73" s="8" t="s">
        <v>514</v>
      </c>
      <c r="E73" s="10" t="s">
        <v>228</v>
      </c>
      <c r="F73" s="7">
        <v>1</v>
      </c>
      <c r="G73" s="7">
        <v>1</v>
      </c>
      <c r="H73" s="7">
        <v>0</v>
      </c>
      <c r="I73" s="7">
        <v>1</v>
      </c>
      <c r="J73" s="7">
        <v>0</v>
      </c>
      <c r="K73" s="7">
        <v>1</v>
      </c>
      <c r="L73" s="7">
        <f t="shared" si="0"/>
        <v>4</v>
      </c>
      <c r="M73" s="5" t="s">
        <v>309</v>
      </c>
      <c r="N73" s="6" t="s">
        <v>515</v>
      </c>
      <c r="O73" s="6" t="s">
        <v>516</v>
      </c>
      <c r="P73" s="6" t="s">
        <v>517</v>
      </c>
      <c r="Q73" s="7">
        <v>2024</v>
      </c>
      <c r="R73" s="6" t="s">
        <v>150</v>
      </c>
      <c r="S73" s="6" t="s">
        <v>51</v>
      </c>
      <c r="T73" s="6"/>
      <c r="V73" s="6"/>
      <c r="W73" s="9"/>
      <c r="X73" s="9"/>
      <c r="Y73" s="9"/>
      <c r="Z73" s="6"/>
      <c r="AA73" s="6"/>
      <c r="AB73" s="6"/>
      <c r="AC73" s="6"/>
      <c r="AD73" s="6"/>
      <c r="AE73" s="6"/>
      <c r="AF73" s="6"/>
      <c r="AG73" s="6"/>
      <c r="AH73" s="6"/>
      <c r="AI73" s="6"/>
      <c r="AJ73" s="6"/>
      <c r="AK73" s="6"/>
      <c r="AL73" s="6"/>
      <c r="AM73" s="6"/>
    </row>
    <row r="74" spans="1:42" ht="13" x14ac:dyDescent="0.15">
      <c r="A74" s="5" t="s">
        <v>518</v>
      </c>
      <c r="B74" s="6" t="s">
        <v>519</v>
      </c>
      <c r="C74" s="6">
        <v>40021306</v>
      </c>
      <c r="D74" s="8" t="s">
        <v>520</v>
      </c>
      <c r="E74" s="10" t="s">
        <v>228</v>
      </c>
      <c r="F74" s="7">
        <v>1</v>
      </c>
      <c r="G74" s="7">
        <v>1</v>
      </c>
      <c r="H74" s="7">
        <v>1</v>
      </c>
      <c r="I74" s="7">
        <v>1</v>
      </c>
      <c r="J74" s="7">
        <v>1</v>
      </c>
      <c r="K74" s="7">
        <v>1</v>
      </c>
      <c r="L74" s="7">
        <f t="shared" si="0"/>
        <v>6</v>
      </c>
      <c r="M74" s="5" t="s">
        <v>521</v>
      </c>
      <c r="N74" s="6" t="s">
        <v>522</v>
      </c>
      <c r="O74" s="6" t="s">
        <v>523</v>
      </c>
      <c r="P74" s="6" t="s">
        <v>524</v>
      </c>
      <c r="Q74" s="7">
        <v>2025</v>
      </c>
      <c r="R74" s="6" t="s">
        <v>135</v>
      </c>
      <c r="S74" s="6" t="s">
        <v>525</v>
      </c>
      <c r="T74" s="6"/>
      <c r="V74" s="6"/>
      <c r="W74" s="9"/>
      <c r="X74" s="9"/>
      <c r="Y74" s="9"/>
      <c r="Z74" s="6"/>
      <c r="AA74" s="6"/>
      <c r="AB74" s="6"/>
      <c r="AC74" s="6"/>
      <c r="AD74" s="6"/>
      <c r="AE74" s="6"/>
      <c r="AF74" s="6"/>
      <c r="AG74" s="6"/>
      <c r="AH74" s="6"/>
      <c r="AI74" s="6"/>
      <c r="AJ74" s="6"/>
      <c r="AK74" s="6"/>
      <c r="AL74" s="6"/>
      <c r="AM74" s="6"/>
    </row>
    <row r="75" spans="1:42" ht="13" x14ac:dyDescent="0.15">
      <c r="A75" s="5" t="s">
        <v>526</v>
      </c>
      <c r="B75" s="6" t="s">
        <v>527</v>
      </c>
      <c r="C75" s="6">
        <v>40297444</v>
      </c>
      <c r="D75" s="8" t="s">
        <v>528</v>
      </c>
      <c r="E75" s="10" t="s">
        <v>228</v>
      </c>
      <c r="F75" s="26" t="s">
        <v>529</v>
      </c>
      <c r="G75" s="27"/>
      <c r="H75" s="27"/>
      <c r="I75" s="27"/>
      <c r="J75" s="27"/>
      <c r="K75" s="27"/>
      <c r="L75" s="7">
        <f t="shared" si="0"/>
        <v>0</v>
      </c>
      <c r="M75" s="5" t="s">
        <v>22</v>
      </c>
      <c r="N75" s="6" t="s">
        <v>530</v>
      </c>
      <c r="O75" s="6" t="s">
        <v>531</v>
      </c>
      <c r="P75" s="6" t="s">
        <v>532</v>
      </c>
      <c r="Q75" s="7">
        <v>2025</v>
      </c>
      <c r="R75" s="6" t="s">
        <v>34</v>
      </c>
      <c r="S75" s="6" t="s">
        <v>533</v>
      </c>
      <c r="T75" s="6"/>
      <c r="V75" s="6"/>
      <c r="W75" s="9"/>
      <c r="X75" s="9"/>
      <c r="Y75" s="9"/>
      <c r="Z75" s="6"/>
      <c r="AA75" s="6"/>
      <c r="AB75" s="6"/>
      <c r="AC75" s="6"/>
      <c r="AD75" s="6"/>
      <c r="AE75" s="6"/>
      <c r="AF75" s="6"/>
      <c r="AG75" s="6"/>
      <c r="AH75" s="6"/>
      <c r="AI75" s="6"/>
      <c r="AJ75" s="6"/>
      <c r="AK75" s="6"/>
      <c r="AL75" s="6"/>
      <c r="AM75" s="6"/>
    </row>
    <row r="76" spans="1:42" ht="13" x14ac:dyDescent="0.15">
      <c r="A76" s="5" t="s">
        <v>534</v>
      </c>
      <c r="B76" s="6" t="s">
        <v>535</v>
      </c>
      <c r="C76" s="6">
        <v>39826559</v>
      </c>
      <c r="D76" s="8" t="s">
        <v>536</v>
      </c>
      <c r="E76" s="10" t="s">
        <v>228</v>
      </c>
      <c r="F76" s="7">
        <v>1</v>
      </c>
      <c r="G76" s="7">
        <v>1</v>
      </c>
      <c r="H76" s="7">
        <v>1</v>
      </c>
      <c r="I76" s="7">
        <v>0</v>
      </c>
      <c r="J76" s="7">
        <v>1</v>
      </c>
      <c r="K76" s="7">
        <v>1</v>
      </c>
      <c r="L76" s="7">
        <f t="shared" si="0"/>
        <v>5</v>
      </c>
      <c r="M76" s="5" t="s">
        <v>411</v>
      </c>
      <c r="N76" s="6" t="s">
        <v>537</v>
      </c>
      <c r="O76" s="6" t="s">
        <v>538</v>
      </c>
      <c r="P76" s="6" t="s">
        <v>539</v>
      </c>
      <c r="Q76" s="7">
        <v>2025</v>
      </c>
      <c r="R76" s="6" t="s">
        <v>42</v>
      </c>
      <c r="S76" s="6" t="s">
        <v>540</v>
      </c>
      <c r="T76" s="6"/>
      <c r="V76" s="6"/>
      <c r="W76" s="9"/>
      <c r="X76" s="9"/>
      <c r="Y76" s="9"/>
      <c r="Z76" s="6"/>
      <c r="AA76" s="6"/>
      <c r="AB76" s="6"/>
      <c r="AC76" s="6"/>
      <c r="AD76" s="6"/>
      <c r="AE76" s="6"/>
      <c r="AF76" s="6"/>
      <c r="AG76" s="6"/>
      <c r="AH76" s="6"/>
      <c r="AI76" s="6"/>
      <c r="AJ76" s="6"/>
      <c r="AK76" s="6"/>
      <c r="AL76" s="6"/>
      <c r="AM76" s="6"/>
    </row>
    <row r="77" spans="1:42" ht="13" x14ac:dyDescent="0.15">
      <c r="A77" s="5" t="s">
        <v>541</v>
      </c>
      <c r="B77" s="6" t="s">
        <v>542</v>
      </c>
      <c r="C77" s="6">
        <v>39800719</v>
      </c>
      <c r="D77" s="8" t="s">
        <v>543</v>
      </c>
      <c r="E77" s="10" t="s">
        <v>228</v>
      </c>
      <c r="F77" s="7">
        <v>1</v>
      </c>
      <c r="G77" s="7">
        <v>1</v>
      </c>
      <c r="H77" s="7">
        <v>1</v>
      </c>
      <c r="I77" s="7">
        <v>1</v>
      </c>
      <c r="J77" s="7">
        <v>1</v>
      </c>
      <c r="K77" s="7">
        <v>1</v>
      </c>
      <c r="L77" s="7">
        <f t="shared" si="0"/>
        <v>6</v>
      </c>
      <c r="M77" s="5" t="s">
        <v>281</v>
      </c>
      <c r="N77" s="6" t="s">
        <v>544</v>
      </c>
      <c r="O77" s="6" t="s">
        <v>545</v>
      </c>
      <c r="P77" s="6" t="s">
        <v>546</v>
      </c>
      <c r="Q77" s="7">
        <v>2025</v>
      </c>
      <c r="R77" s="6" t="s">
        <v>66</v>
      </c>
      <c r="S77" s="6" t="s">
        <v>27</v>
      </c>
      <c r="T77" s="6"/>
      <c r="V77" s="6"/>
      <c r="W77" s="9"/>
      <c r="X77" s="9"/>
      <c r="Y77" s="9"/>
      <c r="Z77" s="6"/>
      <c r="AA77" s="6"/>
      <c r="AB77" s="6"/>
      <c r="AC77" s="6"/>
      <c r="AD77" s="6"/>
      <c r="AE77" s="6"/>
      <c r="AF77" s="6"/>
      <c r="AG77" s="6"/>
      <c r="AH77" s="6"/>
      <c r="AI77" s="6"/>
      <c r="AJ77" s="6"/>
      <c r="AK77" s="6"/>
      <c r="AL77" s="6"/>
      <c r="AM77" s="6"/>
    </row>
    <row r="78" spans="1:42" ht="13" x14ac:dyDescent="0.15">
      <c r="A78" s="5" t="s">
        <v>547</v>
      </c>
      <c r="B78" s="6" t="s">
        <v>548</v>
      </c>
      <c r="C78" s="6">
        <v>40519805</v>
      </c>
      <c r="D78" s="8" t="s">
        <v>549</v>
      </c>
      <c r="E78" s="10" t="s">
        <v>228</v>
      </c>
      <c r="F78" s="7">
        <v>1</v>
      </c>
      <c r="G78" s="7">
        <v>1</v>
      </c>
      <c r="H78" s="7">
        <v>0</v>
      </c>
      <c r="I78" s="7">
        <v>1</v>
      </c>
      <c r="J78" s="7">
        <v>1</v>
      </c>
      <c r="K78" s="7">
        <v>1</v>
      </c>
      <c r="L78" s="7">
        <f t="shared" si="0"/>
        <v>5</v>
      </c>
      <c r="M78" s="5" t="s">
        <v>309</v>
      </c>
      <c r="N78" s="6" t="s">
        <v>550</v>
      </c>
      <c r="O78" s="6" t="s">
        <v>551</v>
      </c>
      <c r="P78" s="6" t="s">
        <v>552</v>
      </c>
      <c r="Q78" s="7">
        <v>2025</v>
      </c>
      <c r="R78" s="6" t="s">
        <v>135</v>
      </c>
      <c r="S78" s="6" t="s">
        <v>553</v>
      </c>
      <c r="T78" s="6"/>
      <c r="V78" s="6"/>
      <c r="W78" s="9"/>
      <c r="X78" s="9"/>
      <c r="Y78" s="9"/>
      <c r="Z78" s="6"/>
      <c r="AA78" s="6"/>
      <c r="AB78" s="6"/>
      <c r="AC78" s="6"/>
      <c r="AD78" s="6"/>
      <c r="AE78" s="6"/>
      <c r="AF78" s="6"/>
      <c r="AG78" s="6"/>
      <c r="AH78" s="6"/>
      <c r="AI78" s="6"/>
      <c r="AJ78" s="6"/>
      <c r="AK78" s="6"/>
      <c r="AL78" s="6"/>
      <c r="AM78" s="6"/>
    </row>
    <row r="79" spans="1:42" ht="13" x14ac:dyDescent="0.15">
      <c r="A79" s="5" t="s">
        <v>554</v>
      </c>
      <c r="B79" s="6" t="s">
        <v>555</v>
      </c>
      <c r="C79" s="6">
        <v>40514714</v>
      </c>
      <c r="D79" s="8" t="s">
        <v>556</v>
      </c>
      <c r="E79" s="10" t="s">
        <v>228</v>
      </c>
      <c r="F79" s="7">
        <v>1</v>
      </c>
      <c r="G79" s="7">
        <v>1</v>
      </c>
      <c r="H79" s="7">
        <v>1</v>
      </c>
      <c r="I79" s="7">
        <v>1</v>
      </c>
      <c r="J79" s="7">
        <v>1</v>
      </c>
      <c r="K79" s="7">
        <v>1</v>
      </c>
      <c r="L79" s="7">
        <f t="shared" si="0"/>
        <v>6</v>
      </c>
      <c r="M79" s="5" t="s">
        <v>411</v>
      </c>
      <c r="N79" s="6" t="s">
        <v>557</v>
      </c>
      <c r="O79" s="6" t="s">
        <v>558</v>
      </c>
      <c r="P79" s="6" t="s">
        <v>559</v>
      </c>
      <c r="Q79" s="7">
        <v>2025</v>
      </c>
      <c r="R79" s="6" t="s">
        <v>88</v>
      </c>
      <c r="S79" s="6" t="s">
        <v>560</v>
      </c>
      <c r="T79" s="6"/>
      <c r="V79" s="6"/>
      <c r="W79" s="9"/>
      <c r="X79" s="9"/>
      <c r="Y79" s="9"/>
      <c r="Z79" s="6"/>
      <c r="AA79" s="6"/>
      <c r="AB79" s="6"/>
      <c r="AC79" s="6"/>
      <c r="AD79" s="6"/>
      <c r="AE79" s="6"/>
      <c r="AF79" s="6"/>
      <c r="AG79" s="6"/>
      <c r="AH79" s="6"/>
      <c r="AI79" s="6"/>
      <c r="AJ79" s="6"/>
      <c r="AK79" s="6"/>
      <c r="AL79" s="6"/>
      <c r="AM79" s="6"/>
    </row>
    <row r="80" spans="1:42" ht="13" x14ac:dyDescent="0.15">
      <c r="A80" s="5" t="s">
        <v>561</v>
      </c>
      <c r="B80" s="6" t="s">
        <v>562</v>
      </c>
      <c r="C80" s="6">
        <v>40598187</v>
      </c>
      <c r="D80" s="8" t="s">
        <v>563</v>
      </c>
      <c r="E80" s="10" t="s">
        <v>228</v>
      </c>
      <c r="F80" s="7">
        <v>1</v>
      </c>
      <c r="G80" s="7">
        <v>1</v>
      </c>
      <c r="H80" s="7">
        <v>0</v>
      </c>
      <c r="I80" s="7">
        <v>1</v>
      </c>
      <c r="J80" s="7">
        <v>1</v>
      </c>
      <c r="K80" s="7">
        <v>1</v>
      </c>
      <c r="L80" s="7">
        <f t="shared" si="0"/>
        <v>5</v>
      </c>
      <c r="M80" s="5" t="s">
        <v>444</v>
      </c>
      <c r="N80" s="6" t="s">
        <v>564</v>
      </c>
      <c r="O80" s="6" t="s">
        <v>565</v>
      </c>
      <c r="P80" s="6" t="s">
        <v>566</v>
      </c>
      <c r="Q80" s="7">
        <v>2025</v>
      </c>
      <c r="R80" s="6" t="s">
        <v>42</v>
      </c>
      <c r="S80" s="6" t="s">
        <v>560</v>
      </c>
      <c r="T80" s="6"/>
      <c r="V80" s="6"/>
      <c r="W80" s="9"/>
      <c r="X80" s="9"/>
      <c r="Y80" s="9"/>
      <c r="Z80" s="6"/>
      <c r="AA80" s="6"/>
      <c r="AD80" s="6"/>
      <c r="AE80" s="6"/>
      <c r="AF80" s="6"/>
      <c r="AG80" s="6"/>
      <c r="AH80" s="6"/>
      <c r="AI80" s="6"/>
      <c r="AJ80" s="6"/>
      <c r="AK80" s="6"/>
      <c r="AL80" s="6"/>
      <c r="AM80" s="6"/>
    </row>
    <row r="81" spans="1:39" ht="13" x14ac:dyDescent="0.15">
      <c r="A81" s="5" t="s">
        <v>567</v>
      </c>
      <c r="B81" s="6" t="s">
        <v>568</v>
      </c>
      <c r="C81" s="6">
        <v>40265952</v>
      </c>
      <c r="D81" s="8" t="s">
        <v>569</v>
      </c>
      <c r="E81" s="10" t="s">
        <v>228</v>
      </c>
      <c r="F81" s="7">
        <v>1</v>
      </c>
      <c r="G81" s="7">
        <v>1</v>
      </c>
      <c r="H81" s="7">
        <v>1</v>
      </c>
      <c r="I81" s="7">
        <v>1</v>
      </c>
      <c r="J81" s="7">
        <v>1</v>
      </c>
      <c r="K81" s="7">
        <v>1</v>
      </c>
      <c r="L81" s="7">
        <f t="shared" si="0"/>
        <v>6</v>
      </c>
      <c r="M81" s="5" t="s">
        <v>411</v>
      </c>
      <c r="N81" s="6" t="s">
        <v>570</v>
      </c>
      <c r="O81" s="6" t="s">
        <v>571</v>
      </c>
      <c r="P81" s="6" t="s">
        <v>572</v>
      </c>
      <c r="Q81" s="7">
        <v>2025</v>
      </c>
      <c r="R81" s="6" t="s">
        <v>88</v>
      </c>
      <c r="S81" s="6" t="s">
        <v>573</v>
      </c>
      <c r="T81" s="6"/>
      <c r="V81" s="6"/>
      <c r="W81" s="9"/>
      <c r="X81" s="9"/>
      <c r="Y81" s="9"/>
      <c r="Z81" s="6"/>
      <c r="AA81" s="6"/>
      <c r="AD81" s="6"/>
      <c r="AE81" s="6"/>
      <c r="AF81" s="6"/>
      <c r="AG81" s="6"/>
      <c r="AH81" s="6"/>
      <c r="AI81" s="6"/>
      <c r="AJ81" s="6"/>
      <c r="AK81" s="6"/>
      <c r="AL81" s="6"/>
      <c r="AM81" s="6"/>
    </row>
    <row r="82" spans="1:39" ht="13" x14ac:dyDescent="0.15">
      <c r="A82" s="5" t="s">
        <v>574</v>
      </c>
      <c r="B82" s="6" t="s">
        <v>575</v>
      </c>
      <c r="C82" s="6">
        <v>40343740</v>
      </c>
      <c r="D82" s="8" t="s">
        <v>576</v>
      </c>
      <c r="E82" s="10" t="s">
        <v>228</v>
      </c>
      <c r="F82" s="7">
        <v>1</v>
      </c>
      <c r="G82" s="7">
        <v>1</v>
      </c>
      <c r="H82" s="7">
        <v>1</v>
      </c>
      <c r="I82" s="7">
        <v>1</v>
      </c>
      <c r="J82" s="7">
        <v>1</v>
      </c>
      <c r="K82" s="7">
        <v>1</v>
      </c>
      <c r="L82" s="7">
        <f t="shared" si="0"/>
        <v>6</v>
      </c>
      <c r="M82" s="5" t="s">
        <v>220</v>
      </c>
      <c r="N82" s="6" t="s">
        <v>577</v>
      </c>
      <c r="O82" s="6" t="s">
        <v>578</v>
      </c>
      <c r="P82" s="6" t="s">
        <v>579</v>
      </c>
      <c r="Q82" s="7">
        <v>2025</v>
      </c>
      <c r="R82" s="6" t="s">
        <v>119</v>
      </c>
      <c r="S82" s="6" t="s">
        <v>580</v>
      </c>
      <c r="T82" s="6"/>
      <c r="V82" s="6"/>
      <c r="W82" s="9"/>
      <c r="X82" s="9"/>
      <c r="Y82" s="9"/>
      <c r="Z82" s="6"/>
      <c r="AA82" s="6"/>
      <c r="AD82" s="6"/>
      <c r="AE82" s="6"/>
      <c r="AF82" s="6"/>
      <c r="AG82" s="6"/>
      <c r="AH82" s="6"/>
      <c r="AI82" s="6"/>
      <c r="AJ82" s="6"/>
      <c r="AK82" s="6"/>
      <c r="AL82" s="6"/>
      <c r="AM82" s="6"/>
    </row>
    <row r="83" spans="1:39" ht="13" x14ac:dyDescent="0.15">
      <c r="A83" s="5" t="s">
        <v>581</v>
      </c>
      <c r="B83" s="6" t="s">
        <v>582</v>
      </c>
      <c r="C83" s="6">
        <v>39653047</v>
      </c>
      <c r="D83" s="8" t="s">
        <v>583</v>
      </c>
      <c r="E83" s="10" t="s">
        <v>228</v>
      </c>
      <c r="F83" s="7">
        <v>1</v>
      </c>
      <c r="G83" s="7">
        <v>1</v>
      </c>
      <c r="H83" s="7">
        <v>0</v>
      </c>
      <c r="I83" s="7">
        <v>0</v>
      </c>
      <c r="J83" s="7">
        <v>0</v>
      </c>
      <c r="K83" s="7">
        <v>1</v>
      </c>
      <c r="L83" s="7">
        <f t="shared" si="0"/>
        <v>3</v>
      </c>
      <c r="M83" s="5" t="s">
        <v>584</v>
      </c>
      <c r="N83" s="6" t="s">
        <v>585</v>
      </c>
      <c r="O83" s="6" t="s">
        <v>586</v>
      </c>
      <c r="P83" s="6" t="s">
        <v>587</v>
      </c>
      <c r="Q83" s="7">
        <v>2025</v>
      </c>
      <c r="R83" s="6" t="s">
        <v>26</v>
      </c>
      <c r="S83" s="6" t="s">
        <v>588</v>
      </c>
      <c r="T83" s="6"/>
      <c r="V83" s="6"/>
      <c r="W83" s="9"/>
      <c r="X83" s="9"/>
      <c r="Y83" s="9"/>
      <c r="Z83" s="6"/>
      <c r="AA83" s="6"/>
      <c r="AB83" s="6"/>
      <c r="AC83" s="6"/>
      <c r="AD83" s="6"/>
      <c r="AE83" s="6"/>
      <c r="AF83" s="6"/>
      <c r="AG83" s="6"/>
      <c r="AH83" s="6"/>
      <c r="AI83" s="6"/>
      <c r="AJ83" s="6"/>
      <c r="AK83" s="6"/>
    </row>
    <row r="84" spans="1:39" ht="13" x14ac:dyDescent="0.15">
      <c r="A84" s="11" t="s">
        <v>589</v>
      </c>
      <c r="B84" s="12" t="s">
        <v>590</v>
      </c>
      <c r="C84" s="12">
        <v>36451747</v>
      </c>
      <c r="D84" s="12" t="s">
        <v>591</v>
      </c>
      <c r="E84" s="10" t="s">
        <v>21</v>
      </c>
      <c r="F84" s="7">
        <v>1</v>
      </c>
      <c r="G84" s="7">
        <v>1</v>
      </c>
      <c r="H84" s="7">
        <v>1</v>
      </c>
      <c r="I84" s="7">
        <v>1</v>
      </c>
      <c r="J84" s="7">
        <v>1</v>
      </c>
      <c r="K84" s="7">
        <v>1</v>
      </c>
      <c r="L84" s="7">
        <f t="shared" si="0"/>
        <v>6</v>
      </c>
      <c r="M84" s="5" t="s">
        <v>76</v>
      </c>
      <c r="N84" s="12" t="s">
        <v>592</v>
      </c>
      <c r="Q84" s="6">
        <v>2022</v>
      </c>
      <c r="R84" s="12" t="s">
        <v>59</v>
      </c>
      <c r="S84" s="6" t="s">
        <v>593</v>
      </c>
      <c r="U84" s="6"/>
      <c r="V84" s="6"/>
      <c r="W84" s="6"/>
      <c r="X84" s="6"/>
      <c r="Y84" s="6"/>
      <c r="Z84" s="13"/>
      <c r="AA84" s="6"/>
      <c r="AB84" s="6"/>
      <c r="AC84" s="6"/>
      <c r="AD84" s="6"/>
      <c r="AE84" s="6"/>
      <c r="AF84" s="6"/>
      <c r="AG84" s="6"/>
      <c r="AH84" s="6"/>
      <c r="AI84" s="6"/>
    </row>
    <row r="85" spans="1:39" ht="13" x14ac:dyDescent="0.15">
      <c r="A85" s="12" t="s">
        <v>594</v>
      </c>
      <c r="B85" s="12" t="s">
        <v>595</v>
      </c>
      <c r="C85" s="12">
        <v>35429395</v>
      </c>
      <c r="D85" s="12" t="s">
        <v>596</v>
      </c>
      <c r="E85" s="10" t="s">
        <v>21</v>
      </c>
      <c r="F85" s="7">
        <v>1</v>
      </c>
      <c r="G85" s="7">
        <v>1</v>
      </c>
      <c r="H85" s="7">
        <v>1</v>
      </c>
      <c r="I85" s="7">
        <v>1</v>
      </c>
      <c r="J85" s="7">
        <v>1</v>
      </c>
      <c r="K85" s="7">
        <v>1</v>
      </c>
      <c r="L85" s="7">
        <f t="shared" si="0"/>
        <v>6</v>
      </c>
      <c r="M85" s="5" t="s">
        <v>281</v>
      </c>
      <c r="N85" s="12" t="s">
        <v>597</v>
      </c>
      <c r="Q85" s="6">
        <v>2022</v>
      </c>
      <c r="R85" s="12" t="s">
        <v>50</v>
      </c>
      <c r="S85" s="6" t="s">
        <v>224</v>
      </c>
      <c r="U85" s="6"/>
      <c r="V85" s="6"/>
      <c r="W85" s="6"/>
      <c r="X85" s="6"/>
      <c r="Y85" s="6"/>
      <c r="Z85" s="13"/>
      <c r="AA85" s="6"/>
      <c r="AB85" s="6"/>
      <c r="AC85" s="6"/>
      <c r="AD85" s="6"/>
      <c r="AE85" s="6"/>
      <c r="AF85" s="6"/>
      <c r="AG85" s="6"/>
      <c r="AH85" s="6"/>
      <c r="AI85" s="6"/>
    </row>
    <row r="86" spans="1:39" ht="13" x14ac:dyDescent="0.15">
      <c r="A86" s="12" t="s">
        <v>598</v>
      </c>
      <c r="B86" s="6" t="s">
        <v>599</v>
      </c>
      <c r="C86" s="12">
        <v>36006247</v>
      </c>
      <c r="D86" s="12" t="s">
        <v>600</v>
      </c>
      <c r="E86" s="10" t="s">
        <v>21</v>
      </c>
      <c r="F86" s="7">
        <v>1</v>
      </c>
      <c r="G86" s="7">
        <v>1</v>
      </c>
      <c r="H86" s="7">
        <v>1</v>
      </c>
      <c r="I86" s="7">
        <v>1</v>
      </c>
      <c r="J86" s="7">
        <v>1</v>
      </c>
      <c r="K86" s="7">
        <v>1</v>
      </c>
      <c r="L86" s="7">
        <f t="shared" si="0"/>
        <v>6</v>
      </c>
      <c r="M86" s="5" t="s">
        <v>601</v>
      </c>
      <c r="N86" s="12" t="s">
        <v>602</v>
      </c>
      <c r="Q86" s="6">
        <v>2022</v>
      </c>
      <c r="R86" s="12" t="s">
        <v>42</v>
      </c>
      <c r="S86" s="6" t="s">
        <v>603</v>
      </c>
      <c r="U86" s="6"/>
      <c r="V86" s="6"/>
      <c r="W86" s="6"/>
      <c r="X86" s="6"/>
      <c r="Y86" s="6"/>
      <c r="Z86" s="13"/>
      <c r="AA86" s="6"/>
      <c r="AB86" s="6"/>
      <c r="AC86" s="6"/>
      <c r="AD86" s="6"/>
      <c r="AE86" s="6"/>
      <c r="AF86" s="6"/>
      <c r="AG86" s="6"/>
      <c r="AH86" s="6"/>
      <c r="AI86" s="6"/>
    </row>
    <row r="87" spans="1:39" ht="13" x14ac:dyDescent="0.15">
      <c r="A87" s="5" t="s">
        <v>604</v>
      </c>
      <c r="B87" s="6" t="s">
        <v>605</v>
      </c>
      <c r="C87" s="7">
        <v>37640962</v>
      </c>
      <c r="D87" s="8" t="s">
        <v>606</v>
      </c>
      <c r="E87" s="10" t="s">
        <v>228</v>
      </c>
      <c r="F87" s="14">
        <v>1</v>
      </c>
      <c r="G87" s="14">
        <v>1</v>
      </c>
      <c r="H87" s="14">
        <v>1</v>
      </c>
      <c r="I87" s="14">
        <v>1</v>
      </c>
      <c r="J87" s="14">
        <v>1</v>
      </c>
      <c r="K87" s="14">
        <v>1</v>
      </c>
      <c r="L87" s="7">
        <f t="shared" si="0"/>
        <v>6</v>
      </c>
      <c r="M87" s="15" t="s">
        <v>607</v>
      </c>
      <c r="N87" s="6" t="s">
        <v>608</v>
      </c>
      <c r="O87" s="6" t="s">
        <v>609</v>
      </c>
      <c r="P87" s="6" t="s">
        <v>610</v>
      </c>
      <c r="Q87" s="7">
        <v>2023</v>
      </c>
      <c r="R87" s="6" t="s">
        <v>80</v>
      </c>
      <c r="S87" s="6" t="s">
        <v>256</v>
      </c>
      <c r="T87" s="6"/>
      <c r="V87" s="7"/>
      <c r="W87" s="9"/>
      <c r="X87" s="9"/>
      <c r="Y87" s="9"/>
      <c r="Z87" s="6"/>
      <c r="AA87" s="6"/>
      <c r="AB87" s="6"/>
      <c r="AC87" s="6"/>
      <c r="AD87" s="6"/>
      <c r="AE87" s="6"/>
      <c r="AF87" s="6"/>
      <c r="AG87" s="6"/>
      <c r="AH87" s="6"/>
      <c r="AI87" s="6"/>
      <c r="AJ87" s="6"/>
    </row>
    <row r="88" spans="1:39" ht="13" x14ac:dyDescent="0.15">
      <c r="A88" s="5" t="s">
        <v>611</v>
      </c>
      <c r="B88" s="6" t="s">
        <v>612</v>
      </c>
      <c r="C88" s="7">
        <v>37754284</v>
      </c>
      <c r="D88" s="8" t="s">
        <v>613</v>
      </c>
      <c r="E88" s="10" t="s">
        <v>228</v>
      </c>
      <c r="F88" s="14">
        <v>1</v>
      </c>
      <c r="G88" s="14">
        <v>1</v>
      </c>
      <c r="H88" s="14">
        <v>0</v>
      </c>
      <c r="I88" s="14">
        <v>1</v>
      </c>
      <c r="J88" s="14">
        <v>0</v>
      </c>
      <c r="K88" s="14">
        <v>1</v>
      </c>
      <c r="L88" s="7">
        <f t="shared" si="0"/>
        <v>4</v>
      </c>
      <c r="M88" s="15" t="s">
        <v>614</v>
      </c>
      <c r="N88" s="6" t="s">
        <v>615</v>
      </c>
      <c r="O88" s="6" t="s">
        <v>616</v>
      </c>
      <c r="P88" s="6" t="s">
        <v>617</v>
      </c>
      <c r="Q88" s="7">
        <v>2023</v>
      </c>
      <c r="R88" s="6" t="s">
        <v>50</v>
      </c>
      <c r="S88" s="6" t="s">
        <v>618</v>
      </c>
      <c r="T88" s="6"/>
      <c r="V88" s="7"/>
      <c r="W88" s="9"/>
      <c r="X88" s="9"/>
      <c r="Y88" s="9"/>
      <c r="Z88" s="6"/>
      <c r="AA88" s="6"/>
      <c r="AB88" s="6"/>
      <c r="AC88" s="6"/>
      <c r="AD88" s="6"/>
      <c r="AE88" s="6"/>
      <c r="AF88" s="6"/>
      <c r="AG88" s="6"/>
      <c r="AH88" s="6"/>
      <c r="AI88" s="6"/>
      <c r="AJ88" s="6"/>
    </row>
    <row r="89" spans="1:39" ht="13" x14ac:dyDescent="0.15">
      <c r="A89" s="5" t="s">
        <v>619</v>
      </c>
      <c r="B89" s="6" t="s">
        <v>620</v>
      </c>
      <c r="C89" s="7">
        <v>39159633</v>
      </c>
      <c r="D89" s="8" t="s">
        <v>621</v>
      </c>
      <c r="E89" s="10" t="s">
        <v>228</v>
      </c>
      <c r="F89" s="14">
        <v>1</v>
      </c>
      <c r="G89" s="14">
        <v>1</v>
      </c>
      <c r="H89" s="14">
        <v>1</v>
      </c>
      <c r="I89" s="14">
        <v>1</v>
      </c>
      <c r="J89" s="14">
        <v>1</v>
      </c>
      <c r="K89" s="14">
        <v>1</v>
      </c>
      <c r="L89" s="7">
        <f t="shared" si="0"/>
        <v>6</v>
      </c>
      <c r="M89" s="15" t="s">
        <v>622</v>
      </c>
      <c r="N89" s="6" t="s">
        <v>623</v>
      </c>
      <c r="O89" s="6" t="s">
        <v>624</v>
      </c>
      <c r="P89" s="6" t="s">
        <v>625</v>
      </c>
      <c r="Q89" s="7">
        <v>2024</v>
      </c>
      <c r="R89" s="6" t="s">
        <v>96</v>
      </c>
      <c r="S89" s="6" t="s">
        <v>540</v>
      </c>
      <c r="T89" s="6"/>
      <c r="V89" s="7"/>
      <c r="W89" s="9"/>
      <c r="X89" s="9"/>
      <c r="Y89" s="9"/>
      <c r="Z89" s="6"/>
      <c r="AA89" s="6"/>
      <c r="AB89" s="6"/>
      <c r="AC89" s="6"/>
      <c r="AD89" s="6"/>
      <c r="AE89" s="6"/>
      <c r="AF89" s="6"/>
      <c r="AG89" s="6"/>
      <c r="AH89" s="6"/>
      <c r="AI89" s="6"/>
      <c r="AJ89" s="6"/>
    </row>
    <row r="90" spans="1:39" ht="13" x14ac:dyDescent="0.15">
      <c r="A90" s="5" t="s">
        <v>626</v>
      </c>
      <c r="B90" s="6" t="s">
        <v>627</v>
      </c>
      <c r="C90" s="7">
        <v>39159629</v>
      </c>
      <c r="D90" s="8" t="s">
        <v>628</v>
      </c>
      <c r="E90" s="10" t="s">
        <v>228</v>
      </c>
      <c r="F90" s="14">
        <v>1</v>
      </c>
      <c r="G90" s="14">
        <v>1</v>
      </c>
      <c r="H90" s="14">
        <v>1</v>
      </c>
      <c r="I90" s="14">
        <v>1</v>
      </c>
      <c r="J90" s="14">
        <v>1</v>
      </c>
      <c r="K90" s="14">
        <v>1</v>
      </c>
      <c r="L90" s="7">
        <f t="shared" si="0"/>
        <v>6</v>
      </c>
      <c r="M90" s="15" t="s">
        <v>622</v>
      </c>
      <c r="N90" s="6" t="s">
        <v>629</v>
      </c>
      <c r="O90" s="6" t="s">
        <v>630</v>
      </c>
      <c r="P90" s="6" t="s">
        <v>631</v>
      </c>
      <c r="Q90" s="7">
        <v>2024</v>
      </c>
      <c r="R90" s="6" t="s">
        <v>96</v>
      </c>
      <c r="S90" s="6" t="s">
        <v>588</v>
      </c>
      <c r="T90" s="6"/>
      <c r="V90" s="7"/>
      <c r="W90" s="9"/>
      <c r="X90" s="9"/>
      <c r="Y90" s="9"/>
      <c r="Z90" s="6"/>
      <c r="AA90" s="6"/>
      <c r="AB90" s="6"/>
      <c r="AC90" s="6"/>
      <c r="AD90" s="6"/>
      <c r="AE90" s="6"/>
      <c r="AF90" s="6"/>
      <c r="AG90" s="6"/>
      <c r="AH90" s="6"/>
      <c r="AI90" s="6"/>
      <c r="AJ90" s="6"/>
    </row>
    <row r="91" spans="1:39" ht="13" x14ac:dyDescent="0.15">
      <c r="A91" s="5" t="s">
        <v>632</v>
      </c>
      <c r="B91" s="6" t="s">
        <v>633</v>
      </c>
      <c r="C91" s="6">
        <v>39367758</v>
      </c>
      <c r="D91" s="8" t="s">
        <v>634</v>
      </c>
      <c r="E91" s="10" t="s">
        <v>228</v>
      </c>
      <c r="F91" s="14">
        <v>1</v>
      </c>
      <c r="G91" s="14">
        <v>1</v>
      </c>
      <c r="H91" s="14">
        <v>1</v>
      </c>
      <c r="I91" s="14">
        <v>1</v>
      </c>
      <c r="J91" s="14">
        <v>0</v>
      </c>
      <c r="K91" s="14">
        <v>1</v>
      </c>
      <c r="L91" s="7">
        <f t="shared" si="0"/>
        <v>5</v>
      </c>
      <c r="M91" s="15" t="s">
        <v>635</v>
      </c>
      <c r="N91" s="6" t="s">
        <v>636</v>
      </c>
      <c r="O91" s="6" t="s">
        <v>637</v>
      </c>
      <c r="P91" s="6" t="s">
        <v>638</v>
      </c>
      <c r="Q91" s="7">
        <v>2025</v>
      </c>
      <c r="R91" s="6" t="s">
        <v>26</v>
      </c>
      <c r="S91" s="6" t="s">
        <v>224</v>
      </c>
      <c r="T91" s="6"/>
      <c r="V91" s="6"/>
      <c r="W91" s="9"/>
      <c r="X91" s="9"/>
      <c r="Y91" s="9"/>
      <c r="Z91" s="6"/>
      <c r="AA91" s="6"/>
      <c r="AB91" s="6"/>
      <c r="AC91" s="6"/>
      <c r="AD91" s="6"/>
      <c r="AE91" s="6"/>
      <c r="AF91" s="6"/>
      <c r="AG91" s="6"/>
      <c r="AH91" s="6"/>
      <c r="AI91" s="6"/>
      <c r="AJ91" s="6"/>
    </row>
    <row r="92" spans="1:39" ht="13" x14ac:dyDescent="0.15">
      <c r="A92" s="5" t="s">
        <v>639</v>
      </c>
      <c r="B92" s="6" t="s">
        <v>640</v>
      </c>
      <c r="C92" s="7">
        <v>38935423</v>
      </c>
      <c r="D92" s="8" t="s">
        <v>641</v>
      </c>
      <c r="E92" s="10" t="s">
        <v>228</v>
      </c>
      <c r="F92" s="14">
        <v>1</v>
      </c>
      <c r="G92" s="14">
        <v>1</v>
      </c>
      <c r="H92" s="14">
        <v>1</v>
      </c>
      <c r="I92" s="14">
        <v>1</v>
      </c>
      <c r="J92" s="14">
        <v>1</v>
      </c>
      <c r="K92" s="14">
        <v>1</v>
      </c>
      <c r="L92" s="7">
        <f t="shared" si="0"/>
        <v>6</v>
      </c>
      <c r="M92" s="15" t="s">
        <v>622</v>
      </c>
      <c r="N92" s="6" t="s">
        <v>642</v>
      </c>
      <c r="O92" s="6" t="s">
        <v>643</v>
      </c>
      <c r="P92" s="6" t="s">
        <v>644</v>
      </c>
      <c r="Q92" s="7">
        <v>2024</v>
      </c>
      <c r="R92" s="6" t="s">
        <v>88</v>
      </c>
      <c r="S92" s="6" t="s">
        <v>645</v>
      </c>
      <c r="T92" s="6"/>
      <c r="V92" s="7"/>
      <c r="W92" s="9"/>
      <c r="X92" s="9"/>
      <c r="Y92" s="9"/>
      <c r="Z92" s="6"/>
      <c r="AA92" s="6"/>
      <c r="AB92" s="6"/>
      <c r="AC92" s="6"/>
      <c r="AD92" s="6"/>
      <c r="AE92" s="6"/>
      <c r="AF92" s="6"/>
      <c r="AG92" s="6"/>
      <c r="AH92" s="6"/>
      <c r="AI92" s="6"/>
      <c r="AJ92" s="6"/>
    </row>
    <row r="93" spans="1:39" ht="13" x14ac:dyDescent="0.15">
      <c r="A93" s="5" t="s">
        <v>646</v>
      </c>
      <c r="B93" s="6" t="s">
        <v>647</v>
      </c>
      <c r="C93" s="7">
        <v>37611122</v>
      </c>
      <c r="D93" s="8" t="s">
        <v>648</v>
      </c>
      <c r="E93" s="10" t="s">
        <v>228</v>
      </c>
      <c r="F93" s="14">
        <v>1</v>
      </c>
      <c r="G93" s="14">
        <v>1</v>
      </c>
      <c r="H93" s="14">
        <v>1</v>
      </c>
      <c r="I93" s="14">
        <v>1</v>
      </c>
      <c r="J93" s="14">
        <v>1</v>
      </c>
      <c r="K93" s="14">
        <v>1</v>
      </c>
      <c r="L93" s="7">
        <f t="shared" si="0"/>
        <v>6</v>
      </c>
      <c r="M93" s="15" t="s">
        <v>649</v>
      </c>
      <c r="N93" s="6" t="s">
        <v>650</v>
      </c>
      <c r="O93" s="6" t="s">
        <v>651</v>
      </c>
      <c r="P93" s="6" t="s">
        <v>652</v>
      </c>
      <c r="Q93" s="7">
        <v>2023</v>
      </c>
      <c r="R93" s="6" t="s">
        <v>96</v>
      </c>
      <c r="S93" s="6" t="s">
        <v>618</v>
      </c>
      <c r="T93" s="6"/>
      <c r="V93" s="7"/>
      <c r="W93" s="9"/>
      <c r="X93" s="9"/>
      <c r="Y93" s="9"/>
      <c r="Z93" s="6"/>
      <c r="AA93" s="6"/>
      <c r="AB93" s="6"/>
      <c r="AC93" s="6"/>
      <c r="AD93" s="6"/>
      <c r="AE93" s="6"/>
      <c r="AF93" s="6"/>
      <c r="AG93" s="6"/>
      <c r="AH93" s="6"/>
      <c r="AI93" s="6"/>
      <c r="AJ93" s="6"/>
    </row>
    <row r="94" spans="1:39" ht="13" x14ac:dyDescent="0.15">
      <c r="A94" s="5" t="s">
        <v>653</v>
      </c>
      <c r="B94" s="6" t="s">
        <v>654</v>
      </c>
      <c r="C94" s="7">
        <v>38411062</v>
      </c>
      <c r="D94" s="8" t="s">
        <v>655</v>
      </c>
      <c r="E94" s="10" t="s">
        <v>228</v>
      </c>
      <c r="F94" s="14">
        <v>1</v>
      </c>
      <c r="G94" s="14">
        <v>1</v>
      </c>
      <c r="H94" s="14">
        <v>1</v>
      </c>
      <c r="I94" s="14">
        <v>1</v>
      </c>
      <c r="J94" s="14">
        <v>1</v>
      </c>
      <c r="K94" s="14">
        <v>1</v>
      </c>
      <c r="L94" s="7">
        <f t="shared" si="0"/>
        <v>6</v>
      </c>
      <c r="M94" s="15" t="s">
        <v>656</v>
      </c>
      <c r="N94" s="6" t="s">
        <v>657</v>
      </c>
      <c r="O94" s="6" t="s">
        <v>658</v>
      </c>
      <c r="P94" s="6" t="s">
        <v>659</v>
      </c>
      <c r="Q94" s="7">
        <v>2024</v>
      </c>
      <c r="R94" s="6" t="s">
        <v>34</v>
      </c>
      <c r="S94" s="6" t="s">
        <v>421</v>
      </c>
      <c r="T94" s="6"/>
      <c r="V94" s="7"/>
      <c r="W94" s="9"/>
      <c r="X94" s="9"/>
      <c r="Y94" s="9"/>
      <c r="Z94" s="6"/>
      <c r="AA94" s="6"/>
      <c r="AB94" s="6"/>
      <c r="AC94" s="6"/>
      <c r="AD94" s="6"/>
      <c r="AE94" s="6"/>
      <c r="AF94" s="6"/>
      <c r="AG94" s="6"/>
      <c r="AH94" s="6"/>
      <c r="AI94" s="6"/>
      <c r="AJ94" s="6"/>
      <c r="AK94" s="6"/>
    </row>
    <row r="95" spans="1:39" ht="13" x14ac:dyDescent="0.15">
      <c r="A95" s="5" t="s">
        <v>660</v>
      </c>
      <c r="B95" s="6" t="s">
        <v>661</v>
      </c>
      <c r="C95" s="7">
        <v>37748765</v>
      </c>
      <c r="D95" s="8" t="s">
        <v>662</v>
      </c>
      <c r="E95" s="10" t="s">
        <v>228</v>
      </c>
      <c r="F95" s="14">
        <v>1</v>
      </c>
      <c r="G95" s="14">
        <v>1</v>
      </c>
      <c r="H95" s="14">
        <v>0</v>
      </c>
      <c r="I95" s="14">
        <v>1</v>
      </c>
      <c r="J95" s="14">
        <v>1</v>
      </c>
      <c r="K95" s="14">
        <v>1</v>
      </c>
      <c r="L95" s="7">
        <f t="shared" si="0"/>
        <v>5</v>
      </c>
      <c r="M95" s="15" t="s">
        <v>663</v>
      </c>
      <c r="N95" s="6" t="s">
        <v>664</v>
      </c>
      <c r="O95" s="6" t="s">
        <v>665</v>
      </c>
      <c r="P95" s="6" t="s">
        <v>666</v>
      </c>
      <c r="Q95" s="7">
        <v>2023</v>
      </c>
      <c r="R95" s="6" t="s">
        <v>59</v>
      </c>
      <c r="S95" s="6" t="s">
        <v>43</v>
      </c>
      <c r="T95" s="6"/>
      <c r="V95" s="7"/>
      <c r="W95" s="9"/>
      <c r="X95" s="9"/>
      <c r="Y95" s="9"/>
      <c r="Z95" s="6"/>
      <c r="AA95" s="6"/>
      <c r="AB95" s="6"/>
      <c r="AC95" s="6"/>
      <c r="AD95" s="6"/>
      <c r="AE95" s="6"/>
      <c r="AF95" s="6"/>
      <c r="AG95" s="6"/>
      <c r="AH95" s="6"/>
      <c r="AI95" s="6"/>
      <c r="AJ95" s="6"/>
    </row>
    <row r="96" spans="1:39" ht="13" x14ac:dyDescent="0.15">
      <c r="A96" s="5" t="s">
        <v>667</v>
      </c>
      <c r="B96" s="6" t="s">
        <v>668</v>
      </c>
      <c r="C96" s="7">
        <v>39148823</v>
      </c>
      <c r="D96" s="8" t="s">
        <v>669</v>
      </c>
      <c r="E96" s="10" t="s">
        <v>228</v>
      </c>
      <c r="F96" s="14">
        <v>1</v>
      </c>
      <c r="G96" s="14">
        <v>1</v>
      </c>
      <c r="H96" s="14">
        <v>0</v>
      </c>
      <c r="I96" s="14">
        <v>1</v>
      </c>
      <c r="J96" s="14">
        <v>0</v>
      </c>
      <c r="K96" s="14">
        <v>1</v>
      </c>
      <c r="L96" s="7">
        <f t="shared" si="0"/>
        <v>4</v>
      </c>
      <c r="M96" s="15" t="s">
        <v>670</v>
      </c>
      <c r="N96" s="6" t="s">
        <v>671</v>
      </c>
      <c r="O96" s="6" t="s">
        <v>672</v>
      </c>
      <c r="P96" s="6" t="s">
        <v>673</v>
      </c>
      <c r="Q96" s="7">
        <v>2024</v>
      </c>
      <c r="R96" s="6" t="s">
        <v>96</v>
      </c>
      <c r="S96" s="6" t="s">
        <v>533</v>
      </c>
      <c r="T96" s="6"/>
      <c r="V96" s="7"/>
      <c r="W96" s="9"/>
      <c r="X96" s="9"/>
      <c r="Y96" s="9"/>
      <c r="Z96" s="6"/>
      <c r="AA96" s="6"/>
      <c r="AB96" s="6"/>
      <c r="AC96" s="6"/>
      <c r="AD96" s="6"/>
      <c r="AE96" s="6"/>
      <c r="AF96" s="6"/>
      <c r="AG96" s="6"/>
      <c r="AH96" s="6"/>
      <c r="AI96" s="6"/>
      <c r="AJ96" s="6"/>
      <c r="AK96" s="6"/>
    </row>
    <row r="97" spans="1:37" ht="13" x14ac:dyDescent="0.15">
      <c r="A97" s="5" t="s">
        <v>674</v>
      </c>
      <c r="B97" s="6" t="s">
        <v>675</v>
      </c>
      <c r="C97" s="7">
        <v>37420265</v>
      </c>
      <c r="D97" s="8" t="s">
        <v>676</v>
      </c>
      <c r="E97" s="10" t="s">
        <v>228</v>
      </c>
      <c r="F97" s="14">
        <v>1</v>
      </c>
      <c r="G97" s="14">
        <v>1</v>
      </c>
      <c r="H97" s="14">
        <v>1</v>
      </c>
      <c r="I97" s="14">
        <v>1</v>
      </c>
      <c r="J97" s="14">
        <v>1</v>
      </c>
      <c r="K97" s="14">
        <v>1</v>
      </c>
      <c r="L97" s="7">
        <f t="shared" si="0"/>
        <v>6</v>
      </c>
      <c r="M97" s="15" t="s">
        <v>670</v>
      </c>
      <c r="N97" s="6" t="s">
        <v>677</v>
      </c>
      <c r="O97" s="6" t="s">
        <v>678</v>
      </c>
      <c r="P97" s="6" t="s">
        <v>679</v>
      </c>
      <c r="Q97" s="7">
        <v>2023</v>
      </c>
      <c r="R97" s="6" t="s">
        <v>42</v>
      </c>
      <c r="S97" s="6" t="s">
        <v>27</v>
      </c>
      <c r="T97" s="6"/>
      <c r="V97" s="7"/>
      <c r="W97" s="9"/>
      <c r="X97" s="9"/>
      <c r="Y97" s="9"/>
      <c r="Z97" s="6"/>
      <c r="AA97" s="6"/>
      <c r="AB97" s="6"/>
      <c r="AC97" s="6"/>
      <c r="AD97" s="6"/>
      <c r="AE97" s="6"/>
      <c r="AF97" s="6"/>
      <c r="AG97" s="6"/>
      <c r="AH97" s="6"/>
      <c r="AI97" s="6"/>
      <c r="AJ97" s="6"/>
      <c r="AK97" s="6"/>
    </row>
    <row r="98" spans="1:37" ht="13" x14ac:dyDescent="0.15">
      <c r="A98" s="5" t="s">
        <v>680</v>
      </c>
      <c r="B98" s="6" t="s">
        <v>681</v>
      </c>
      <c r="C98" s="7">
        <v>39136465</v>
      </c>
      <c r="D98" s="8" t="s">
        <v>682</v>
      </c>
      <c r="E98" s="10" t="s">
        <v>228</v>
      </c>
      <c r="F98" s="14">
        <v>1</v>
      </c>
      <c r="G98" s="14">
        <v>1</v>
      </c>
      <c r="H98" s="14">
        <v>1</v>
      </c>
      <c r="I98" s="14">
        <v>1</v>
      </c>
      <c r="J98" s="14">
        <v>1</v>
      </c>
      <c r="K98" s="14">
        <v>1</v>
      </c>
      <c r="L98" s="7">
        <f t="shared" si="0"/>
        <v>6</v>
      </c>
      <c r="M98" s="15" t="s">
        <v>683</v>
      </c>
      <c r="N98" s="6" t="s">
        <v>684</v>
      </c>
      <c r="O98" s="6" t="s">
        <v>685</v>
      </c>
      <c r="P98" s="6" t="s">
        <v>686</v>
      </c>
      <c r="Q98" s="7">
        <v>2024</v>
      </c>
      <c r="R98" s="6" t="s">
        <v>50</v>
      </c>
      <c r="S98" s="6" t="s">
        <v>421</v>
      </c>
      <c r="T98" s="6"/>
      <c r="V98" s="7"/>
      <c r="W98" s="9"/>
      <c r="X98" s="9"/>
      <c r="Y98" s="9"/>
      <c r="Z98" s="6"/>
      <c r="AA98" s="6"/>
      <c r="AB98" s="6"/>
      <c r="AC98" s="6"/>
      <c r="AD98" s="6"/>
      <c r="AE98" s="6"/>
      <c r="AF98" s="6"/>
      <c r="AG98" s="6"/>
      <c r="AH98" s="6"/>
      <c r="AI98" s="6"/>
      <c r="AJ98" s="6"/>
    </row>
    <row r="99" spans="1:37" ht="13" x14ac:dyDescent="0.15">
      <c r="A99" s="5" t="s">
        <v>687</v>
      </c>
      <c r="B99" s="6" t="s">
        <v>688</v>
      </c>
      <c r="C99" s="7">
        <v>32355199</v>
      </c>
      <c r="D99" s="8" t="s">
        <v>689</v>
      </c>
      <c r="E99" s="10" t="s">
        <v>228</v>
      </c>
      <c r="F99" s="14">
        <v>1</v>
      </c>
      <c r="G99" s="14">
        <v>1</v>
      </c>
      <c r="H99" s="14">
        <v>1</v>
      </c>
      <c r="I99" s="14">
        <v>1</v>
      </c>
      <c r="J99" s="14">
        <v>1</v>
      </c>
      <c r="K99" s="14">
        <v>1</v>
      </c>
      <c r="L99" s="7">
        <f t="shared" si="0"/>
        <v>6</v>
      </c>
      <c r="M99" s="15" t="s">
        <v>690</v>
      </c>
      <c r="N99" s="6" t="s">
        <v>691</v>
      </c>
      <c r="O99" s="6" t="s">
        <v>692</v>
      </c>
      <c r="P99" s="6" t="s">
        <v>693</v>
      </c>
      <c r="Q99" s="7">
        <v>2020</v>
      </c>
      <c r="R99" s="6" t="s">
        <v>34</v>
      </c>
      <c r="S99" s="6" t="s">
        <v>448</v>
      </c>
      <c r="T99" s="6"/>
      <c r="V99" s="7"/>
      <c r="W99" s="9"/>
      <c r="X99" s="9"/>
      <c r="Y99" s="9"/>
      <c r="Z99" s="6"/>
      <c r="AA99" s="6"/>
      <c r="AB99" s="6"/>
      <c r="AC99" s="6"/>
      <c r="AD99" s="6"/>
      <c r="AE99" s="6"/>
      <c r="AF99" s="6"/>
      <c r="AG99" s="6"/>
      <c r="AH99" s="6"/>
      <c r="AI99" s="6"/>
      <c r="AJ99" s="6"/>
    </row>
    <row r="100" spans="1:37" ht="13" x14ac:dyDescent="0.15">
      <c r="A100" s="5" t="s">
        <v>694</v>
      </c>
      <c r="B100" s="6" t="s">
        <v>695</v>
      </c>
      <c r="C100" s="7">
        <v>37096145</v>
      </c>
      <c r="D100" s="8" t="s">
        <v>696</v>
      </c>
      <c r="E100" s="10" t="s">
        <v>228</v>
      </c>
      <c r="F100" s="14">
        <v>1</v>
      </c>
      <c r="G100" s="14">
        <v>1</v>
      </c>
      <c r="H100" s="14">
        <v>0</v>
      </c>
      <c r="I100" s="14">
        <v>1</v>
      </c>
      <c r="J100" s="14">
        <v>0</v>
      </c>
      <c r="K100" s="14">
        <v>1</v>
      </c>
      <c r="L100" s="7">
        <f t="shared" si="0"/>
        <v>4</v>
      </c>
      <c r="M100" s="15" t="s">
        <v>635</v>
      </c>
      <c r="N100" s="6" t="s">
        <v>697</v>
      </c>
      <c r="O100" s="6" t="s">
        <v>698</v>
      </c>
      <c r="P100" s="6" t="s">
        <v>699</v>
      </c>
      <c r="Q100" s="7">
        <v>2023</v>
      </c>
      <c r="R100" s="6" t="s">
        <v>34</v>
      </c>
      <c r="S100" s="6" t="s">
        <v>700</v>
      </c>
      <c r="T100" s="6"/>
      <c r="V100" s="7"/>
      <c r="W100" s="9"/>
      <c r="X100" s="9"/>
      <c r="Y100" s="9"/>
      <c r="Z100" s="6"/>
      <c r="AA100" s="6"/>
      <c r="AB100" s="6"/>
      <c r="AC100" s="6"/>
      <c r="AD100" s="6"/>
      <c r="AE100" s="6"/>
      <c r="AF100" s="6"/>
      <c r="AG100" s="6"/>
      <c r="AH100" s="6"/>
      <c r="AI100" s="6"/>
      <c r="AJ100" s="6"/>
    </row>
    <row r="101" spans="1:37" ht="13" x14ac:dyDescent="0.15">
      <c r="A101" s="5" t="s">
        <v>701</v>
      </c>
      <c r="B101" s="6" t="s">
        <v>702</v>
      </c>
      <c r="C101" s="7">
        <v>38755607</v>
      </c>
      <c r="D101" s="8" t="s">
        <v>703</v>
      </c>
      <c r="E101" s="10" t="s">
        <v>228</v>
      </c>
      <c r="F101" s="14">
        <v>1</v>
      </c>
      <c r="G101" s="14">
        <v>1</v>
      </c>
      <c r="H101" s="14">
        <v>1</v>
      </c>
      <c r="I101" s="14">
        <v>1</v>
      </c>
      <c r="J101" s="14">
        <v>1</v>
      </c>
      <c r="K101" s="14">
        <v>1</v>
      </c>
      <c r="L101" s="7">
        <f t="shared" si="0"/>
        <v>6</v>
      </c>
      <c r="M101" s="15" t="s">
        <v>635</v>
      </c>
      <c r="N101" s="6" t="s">
        <v>704</v>
      </c>
      <c r="O101" s="6" t="s">
        <v>705</v>
      </c>
      <c r="P101" s="6" t="s">
        <v>706</v>
      </c>
      <c r="Q101" s="7">
        <v>2024</v>
      </c>
      <c r="R101" s="6" t="s">
        <v>119</v>
      </c>
      <c r="S101" s="6" t="s">
        <v>27</v>
      </c>
      <c r="T101" s="6"/>
      <c r="V101" s="7"/>
      <c r="W101" s="9"/>
      <c r="X101" s="9"/>
      <c r="Y101" s="9"/>
      <c r="Z101" s="6"/>
      <c r="AA101" s="6"/>
      <c r="AB101" s="6"/>
      <c r="AC101" s="6"/>
      <c r="AD101" s="6"/>
      <c r="AE101" s="6"/>
      <c r="AF101" s="6"/>
      <c r="AG101" s="6"/>
      <c r="AH101" s="6"/>
      <c r="AI101" s="6"/>
      <c r="AJ101" s="6"/>
    </row>
    <row r="102" spans="1:37" ht="13" x14ac:dyDescent="0.15">
      <c r="A102" s="5" t="s">
        <v>707</v>
      </c>
      <c r="B102" s="6" t="s">
        <v>708</v>
      </c>
      <c r="C102" s="7">
        <v>38016502</v>
      </c>
      <c r="D102" s="8" t="s">
        <v>709</v>
      </c>
      <c r="E102" s="10" t="s">
        <v>228</v>
      </c>
      <c r="F102" s="14">
        <v>1</v>
      </c>
      <c r="G102" s="14">
        <v>1</v>
      </c>
      <c r="H102" s="14">
        <v>1</v>
      </c>
      <c r="I102" s="14">
        <v>1</v>
      </c>
      <c r="J102" s="14">
        <v>1</v>
      </c>
      <c r="K102" s="14">
        <v>1</v>
      </c>
      <c r="L102" s="7">
        <f t="shared" si="0"/>
        <v>6</v>
      </c>
      <c r="M102" s="15" t="s">
        <v>690</v>
      </c>
      <c r="N102" s="6" t="s">
        <v>710</v>
      </c>
      <c r="O102" s="6" t="s">
        <v>711</v>
      </c>
      <c r="P102" s="6" t="s">
        <v>712</v>
      </c>
      <c r="Q102" s="7">
        <v>2024</v>
      </c>
      <c r="R102" s="6" t="s">
        <v>26</v>
      </c>
      <c r="S102" s="6" t="s">
        <v>89</v>
      </c>
      <c r="T102" s="6"/>
      <c r="V102" s="7"/>
      <c r="W102" s="9"/>
      <c r="X102" s="9"/>
      <c r="Y102" s="9"/>
      <c r="Z102" s="6"/>
      <c r="AA102" s="6"/>
      <c r="AB102" s="6"/>
      <c r="AC102" s="6"/>
      <c r="AD102" s="6"/>
      <c r="AE102" s="6"/>
      <c r="AF102" s="6"/>
      <c r="AG102" s="6"/>
      <c r="AH102" s="6"/>
      <c r="AI102" s="6"/>
      <c r="AJ102" s="6"/>
    </row>
    <row r="103" spans="1:37" ht="13" x14ac:dyDescent="0.15">
      <c r="A103" s="5" t="s">
        <v>713</v>
      </c>
      <c r="B103" s="6" t="s">
        <v>714</v>
      </c>
      <c r="C103" s="7">
        <v>38377612</v>
      </c>
      <c r="D103" s="8" t="s">
        <v>715</v>
      </c>
      <c r="E103" s="10" t="s">
        <v>228</v>
      </c>
      <c r="F103" s="14">
        <v>1</v>
      </c>
      <c r="G103" s="14">
        <v>1</v>
      </c>
      <c r="H103" s="14">
        <v>1</v>
      </c>
      <c r="I103" s="14">
        <v>1</v>
      </c>
      <c r="J103" s="14">
        <v>1</v>
      </c>
      <c r="K103" s="14">
        <v>1</v>
      </c>
      <c r="L103" s="7">
        <f t="shared" si="0"/>
        <v>6</v>
      </c>
      <c r="M103" s="15" t="s">
        <v>690</v>
      </c>
      <c r="N103" s="6" t="s">
        <v>716</v>
      </c>
      <c r="O103" s="6" t="s">
        <v>717</v>
      </c>
      <c r="P103" s="6" t="s">
        <v>718</v>
      </c>
      <c r="Q103" s="7">
        <v>2024</v>
      </c>
      <c r="R103" s="6" t="s">
        <v>34</v>
      </c>
      <c r="S103" s="6" t="s">
        <v>43</v>
      </c>
      <c r="T103" s="6"/>
      <c r="V103" s="7"/>
      <c r="W103" s="9"/>
      <c r="X103" s="9"/>
      <c r="Y103" s="9"/>
      <c r="Z103" s="6"/>
      <c r="AA103" s="6"/>
      <c r="AB103" s="6"/>
      <c r="AC103" s="6"/>
      <c r="AD103" s="6"/>
      <c r="AE103" s="6"/>
      <c r="AF103" s="6"/>
      <c r="AG103" s="6"/>
      <c r="AH103" s="6"/>
      <c r="AI103" s="6"/>
      <c r="AJ103" s="6"/>
    </row>
    <row r="104" spans="1:37" ht="13" x14ac:dyDescent="0.15">
      <c r="A104" s="5" t="s">
        <v>719</v>
      </c>
      <c r="B104" s="6" t="s">
        <v>720</v>
      </c>
      <c r="C104" s="7">
        <v>38461239</v>
      </c>
      <c r="D104" s="8" t="s">
        <v>721</v>
      </c>
      <c r="E104" s="10" t="s">
        <v>228</v>
      </c>
      <c r="F104" s="14">
        <v>1</v>
      </c>
      <c r="G104" s="14">
        <v>1</v>
      </c>
      <c r="H104" s="14">
        <v>0</v>
      </c>
      <c r="I104" s="14">
        <v>1</v>
      </c>
      <c r="J104" s="14">
        <v>1</v>
      </c>
      <c r="K104" s="14">
        <v>1</v>
      </c>
      <c r="L104" s="7">
        <f t="shared" si="0"/>
        <v>5</v>
      </c>
      <c r="M104" s="15" t="s">
        <v>622</v>
      </c>
      <c r="N104" s="6" t="s">
        <v>722</v>
      </c>
      <c r="O104" s="6" t="s">
        <v>723</v>
      </c>
      <c r="P104" s="6" t="s">
        <v>724</v>
      </c>
      <c r="Q104" s="7">
        <v>2024</v>
      </c>
      <c r="R104" s="6" t="s">
        <v>135</v>
      </c>
      <c r="S104" s="6" t="s">
        <v>27</v>
      </c>
      <c r="T104" s="6"/>
      <c r="V104" s="7"/>
      <c r="W104" s="9"/>
      <c r="X104" s="9"/>
      <c r="Y104" s="9"/>
      <c r="Z104" s="6"/>
      <c r="AA104" s="6"/>
      <c r="AB104" s="6"/>
      <c r="AC104" s="6"/>
      <c r="AD104" s="6"/>
      <c r="AE104" s="6"/>
      <c r="AF104" s="6"/>
      <c r="AG104" s="6"/>
      <c r="AH104" s="6"/>
      <c r="AI104" s="6"/>
      <c r="AJ104" s="6"/>
    </row>
    <row r="105" spans="1:37" ht="13" x14ac:dyDescent="0.15">
      <c r="A105" s="5" t="s">
        <v>725</v>
      </c>
      <c r="B105" s="6" t="s">
        <v>726</v>
      </c>
      <c r="C105" s="7">
        <v>38092677</v>
      </c>
      <c r="D105" s="8" t="s">
        <v>727</v>
      </c>
      <c r="E105" s="10" t="s">
        <v>228</v>
      </c>
      <c r="F105" s="14">
        <v>1</v>
      </c>
      <c r="G105" s="14">
        <v>1</v>
      </c>
      <c r="H105" s="14">
        <v>1</v>
      </c>
      <c r="I105" s="14">
        <v>1</v>
      </c>
      <c r="J105" s="14">
        <v>1</v>
      </c>
      <c r="K105" s="14">
        <v>1</v>
      </c>
      <c r="L105" s="7">
        <f t="shared" si="0"/>
        <v>6</v>
      </c>
      <c r="M105" s="15" t="s">
        <v>635</v>
      </c>
      <c r="N105" s="6" t="s">
        <v>728</v>
      </c>
      <c r="O105" s="6" t="s">
        <v>729</v>
      </c>
      <c r="P105" s="6" t="s">
        <v>730</v>
      </c>
      <c r="Q105" s="7">
        <v>2024</v>
      </c>
      <c r="R105" s="6" t="s">
        <v>66</v>
      </c>
      <c r="S105" s="6" t="s">
        <v>421</v>
      </c>
      <c r="T105" s="6"/>
      <c r="V105" s="7"/>
      <c r="W105" s="9"/>
      <c r="X105" s="9"/>
      <c r="Y105" s="9"/>
      <c r="Z105" s="6"/>
      <c r="AA105" s="6"/>
      <c r="AB105" s="6"/>
      <c r="AC105" s="6"/>
      <c r="AD105" s="6"/>
      <c r="AE105" s="6"/>
      <c r="AF105" s="6"/>
      <c r="AG105" s="6"/>
      <c r="AH105" s="6"/>
      <c r="AI105" s="6"/>
      <c r="AJ105" s="6"/>
    </row>
    <row r="106" spans="1:37" ht="13" x14ac:dyDescent="0.15">
      <c r="A106" s="5" t="s">
        <v>731</v>
      </c>
      <c r="B106" s="6" t="s">
        <v>732</v>
      </c>
      <c r="C106" s="7">
        <v>25367912</v>
      </c>
      <c r="D106" s="8" t="s">
        <v>733</v>
      </c>
      <c r="E106" s="10" t="s">
        <v>228</v>
      </c>
      <c r="F106" s="14">
        <v>1</v>
      </c>
      <c r="G106" s="14">
        <v>1</v>
      </c>
      <c r="H106" s="14">
        <v>0</v>
      </c>
      <c r="I106" s="14">
        <v>1</v>
      </c>
      <c r="J106" s="14">
        <v>1</v>
      </c>
      <c r="K106" s="14">
        <v>1</v>
      </c>
      <c r="L106" s="7">
        <f t="shared" si="0"/>
        <v>5</v>
      </c>
      <c r="M106" s="15" t="s">
        <v>734</v>
      </c>
      <c r="N106" s="6" t="s">
        <v>735</v>
      </c>
      <c r="O106" s="6" t="s">
        <v>736</v>
      </c>
      <c r="P106" s="6" t="s">
        <v>737</v>
      </c>
      <c r="Q106" s="7">
        <v>2015</v>
      </c>
      <c r="R106" s="6" t="s">
        <v>66</v>
      </c>
      <c r="S106" s="6" t="s">
        <v>421</v>
      </c>
      <c r="T106" s="6"/>
      <c r="V106" s="7"/>
      <c r="W106" s="9"/>
      <c r="X106" s="9"/>
      <c r="Y106" s="9"/>
      <c r="Z106" s="6"/>
      <c r="AA106" s="6"/>
      <c r="AB106" s="6"/>
      <c r="AC106" s="6"/>
      <c r="AD106" s="6"/>
      <c r="AE106" s="6"/>
      <c r="AF106" s="6"/>
      <c r="AG106" s="6"/>
      <c r="AH106" s="6"/>
      <c r="AI106" s="6"/>
      <c r="AJ106" s="6"/>
    </row>
    <row r="107" spans="1:37" ht="13" x14ac:dyDescent="0.15">
      <c r="A107" s="5" t="s">
        <v>738</v>
      </c>
      <c r="B107" s="6" t="s">
        <v>739</v>
      </c>
      <c r="C107" s="7">
        <v>29615039</v>
      </c>
      <c r="D107" s="8" t="s">
        <v>740</v>
      </c>
      <c r="E107" s="10" t="s">
        <v>228</v>
      </c>
      <c r="F107" s="14">
        <v>1</v>
      </c>
      <c r="G107" s="14">
        <v>1</v>
      </c>
      <c r="H107" s="14">
        <v>0</v>
      </c>
      <c r="I107" s="14">
        <v>1</v>
      </c>
      <c r="J107" s="14">
        <v>1</v>
      </c>
      <c r="K107" s="14">
        <v>1</v>
      </c>
      <c r="L107" s="7">
        <f t="shared" si="0"/>
        <v>5</v>
      </c>
      <c r="M107" s="15" t="s">
        <v>734</v>
      </c>
      <c r="N107" s="6" t="s">
        <v>741</v>
      </c>
      <c r="O107" s="6" t="s">
        <v>742</v>
      </c>
      <c r="P107" s="6" t="s">
        <v>743</v>
      </c>
      <c r="Q107" s="7">
        <v>2018</v>
      </c>
      <c r="R107" s="6" t="s">
        <v>34</v>
      </c>
      <c r="S107" s="6" t="s">
        <v>27</v>
      </c>
      <c r="T107" s="6"/>
      <c r="V107" s="7"/>
      <c r="W107" s="9"/>
      <c r="X107" s="9"/>
      <c r="Y107" s="9"/>
      <c r="Z107" s="6"/>
      <c r="AA107" s="6"/>
      <c r="AB107" s="6"/>
      <c r="AC107" s="6"/>
      <c r="AD107" s="6"/>
      <c r="AE107" s="6"/>
      <c r="AF107" s="6"/>
      <c r="AG107" s="6"/>
      <c r="AH107" s="6"/>
      <c r="AI107" s="6"/>
      <c r="AJ107" s="6"/>
    </row>
    <row r="108" spans="1:37" ht="13" x14ac:dyDescent="0.15">
      <c r="A108" s="5" t="s">
        <v>744</v>
      </c>
      <c r="B108" s="6" t="s">
        <v>745</v>
      </c>
      <c r="C108" s="7">
        <v>37612601</v>
      </c>
      <c r="D108" s="8" t="s">
        <v>746</v>
      </c>
      <c r="E108" s="10" t="s">
        <v>228</v>
      </c>
      <c r="F108" s="14">
        <v>1</v>
      </c>
      <c r="G108" s="14">
        <v>1</v>
      </c>
      <c r="H108" s="14">
        <v>0</v>
      </c>
      <c r="I108" s="14">
        <v>1</v>
      </c>
      <c r="J108" s="14">
        <v>1</v>
      </c>
      <c r="K108" s="14">
        <v>1</v>
      </c>
      <c r="L108" s="7">
        <f t="shared" si="0"/>
        <v>5</v>
      </c>
      <c r="M108" s="15" t="s">
        <v>747</v>
      </c>
      <c r="N108" s="6" t="s">
        <v>748</v>
      </c>
      <c r="O108" s="6" t="s">
        <v>749</v>
      </c>
      <c r="P108" s="6" t="s">
        <v>750</v>
      </c>
      <c r="Q108" s="7">
        <v>2023</v>
      </c>
      <c r="R108" s="6" t="s">
        <v>96</v>
      </c>
      <c r="S108" s="6" t="s">
        <v>27</v>
      </c>
      <c r="T108" s="6"/>
      <c r="V108" s="7"/>
      <c r="W108" s="9"/>
      <c r="X108" s="9"/>
      <c r="Y108" s="9"/>
      <c r="Z108" s="6"/>
      <c r="AA108" s="6"/>
      <c r="AB108" s="6"/>
      <c r="AC108" s="6"/>
      <c r="AD108" s="6"/>
      <c r="AE108" s="6"/>
      <c r="AF108" s="6"/>
      <c r="AG108" s="6"/>
      <c r="AH108" s="6"/>
      <c r="AI108" s="6"/>
      <c r="AJ108" s="6"/>
    </row>
    <row r="109" spans="1:37" ht="13" x14ac:dyDescent="0.15">
      <c r="A109" s="5" t="s">
        <v>751</v>
      </c>
      <c r="B109" s="6" t="s">
        <v>752</v>
      </c>
      <c r="C109" s="16">
        <v>38741101</v>
      </c>
      <c r="D109" s="8" t="s">
        <v>753</v>
      </c>
      <c r="E109" s="10" t="s">
        <v>228</v>
      </c>
      <c r="F109" s="14">
        <v>1</v>
      </c>
      <c r="G109" s="14">
        <v>1</v>
      </c>
      <c r="H109" s="14">
        <v>0</v>
      </c>
      <c r="I109" s="14">
        <v>1</v>
      </c>
      <c r="J109" s="14">
        <v>1</v>
      </c>
      <c r="K109" s="14">
        <v>1</v>
      </c>
      <c r="L109" s="7">
        <f t="shared" si="0"/>
        <v>5</v>
      </c>
      <c r="M109" s="15" t="s">
        <v>754</v>
      </c>
      <c r="N109" s="6" t="s">
        <v>755</v>
      </c>
      <c r="O109" s="6" t="s">
        <v>756</v>
      </c>
      <c r="P109" s="6" t="s">
        <v>757</v>
      </c>
      <c r="Q109" s="7">
        <v>2024</v>
      </c>
      <c r="R109" s="6" t="s">
        <v>119</v>
      </c>
      <c r="S109" s="6" t="s">
        <v>27</v>
      </c>
      <c r="T109" s="17"/>
      <c r="V109" s="7"/>
      <c r="W109" s="9"/>
      <c r="X109" s="9"/>
      <c r="Y109" s="9"/>
      <c r="Z109" s="6"/>
      <c r="AA109" s="6"/>
      <c r="AB109" s="6"/>
      <c r="AC109" s="6"/>
      <c r="AD109" s="6"/>
      <c r="AE109" s="6"/>
      <c r="AF109" s="6"/>
      <c r="AG109" s="6"/>
      <c r="AH109" s="6"/>
      <c r="AI109" s="6"/>
      <c r="AJ109" s="6"/>
    </row>
    <row r="110" spans="1:37" ht="13" x14ac:dyDescent="0.15">
      <c r="A110" s="5" t="s">
        <v>758</v>
      </c>
      <c r="B110" s="6" t="s">
        <v>759</v>
      </c>
      <c r="C110" s="7">
        <v>38570791</v>
      </c>
      <c r="D110" s="8" t="s">
        <v>760</v>
      </c>
      <c r="E110" s="10" t="s">
        <v>228</v>
      </c>
      <c r="F110" s="14">
        <v>1</v>
      </c>
      <c r="G110" s="14">
        <v>1</v>
      </c>
      <c r="H110" s="14">
        <v>0</v>
      </c>
      <c r="I110" s="14">
        <v>1</v>
      </c>
      <c r="J110" s="14">
        <v>1</v>
      </c>
      <c r="K110" s="14">
        <v>1</v>
      </c>
      <c r="L110" s="7">
        <f t="shared" si="0"/>
        <v>5</v>
      </c>
      <c r="M110" s="15" t="s">
        <v>761</v>
      </c>
      <c r="N110" s="6" t="s">
        <v>762</v>
      </c>
      <c r="O110" s="6" t="s">
        <v>763</v>
      </c>
      <c r="P110" s="6" t="s">
        <v>764</v>
      </c>
      <c r="Q110" s="7">
        <v>2024</v>
      </c>
      <c r="R110" s="6" t="s">
        <v>34</v>
      </c>
      <c r="S110" s="6" t="s">
        <v>27</v>
      </c>
      <c r="T110" s="6"/>
      <c r="V110" s="7"/>
      <c r="W110" s="9"/>
      <c r="X110" s="9"/>
      <c r="Y110" s="9"/>
      <c r="Z110" s="6"/>
      <c r="AA110" s="6"/>
      <c r="AB110" s="6"/>
      <c r="AC110" s="6"/>
      <c r="AD110" s="6"/>
      <c r="AE110" s="6"/>
      <c r="AF110" s="6"/>
      <c r="AG110" s="6"/>
      <c r="AH110" s="6"/>
      <c r="AI110" s="6"/>
      <c r="AJ110" s="6"/>
      <c r="AK110" s="6"/>
    </row>
    <row r="111" spans="1:37" ht="13" x14ac:dyDescent="0.15">
      <c r="A111" s="5" t="s">
        <v>765</v>
      </c>
      <c r="B111" s="6" t="s">
        <v>766</v>
      </c>
      <c r="C111" s="7">
        <v>39103358</v>
      </c>
      <c r="D111" s="8" t="s">
        <v>767</v>
      </c>
      <c r="E111" s="10" t="s">
        <v>228</v>
      </c>
      <c r="F111" s="14">
        <v>1</v>
      </c>
      <c r="G111" s="14">
        <v>1</v>
      </c>
      <c r="H111" s="14">
        <v>0</v>
      </c>
      <c r="I111" s="14">
        <v>1</v>
      </c>
      <c r="J111" s="14">
        <v>0</v>
      </c>
      <c r="K111" s="14">
        <v>1</v>
      </c>
      <c r="L111" s="7">
        <f t="shared" si="0"/>
        <v>4</v>
      </c>
      <c r="M111" s="15" t="s">
        <v>768</v>
      </c>
      <c r="N111" s="6" t="s">
        <v>769</v>
      </c>
      <c r="O111" s="6" t="s">
        <v>770</v>
      </c>
      <c r="P111" s="6" t="s">
        <v>771</v>
      </c>
      <c r="Q111" s="7">
        <v>2024</v>
      </c>
      <c r="R111" s="6" t="s">
        <v>96</v>
      </c>
      <c r="S111" s="6" t="s">
        <v>198</v>
      </c>
      <c r="T111" s="6"/>
      <c r="V111" s="7"/>
      <c r="W111" s="9"/>
      <c r="X111" s="9"/>
      <c r="Y111" s="9"/>
      <c r="Z111" s="6"/>
      <c r="AA111" s="6"/>
      <c r="AB111" s="6"/>
      <c r="AC111" s="6"/>
      <c r="AD111" s="6"/>
      <c r="AE111" s="6"/>
      <c r="AF111" s="6"/>
      <c r="AG111" s="6"/>
      <c r="AH111" s="6"/>
      <c r="AI111" s="6"/>
      <c r="AJ111" s="6"/>
      <c r="AK111" s="6"/>
    </row>
    <row r="112" spans="1:37" ht="13" x14ac:dyDescent="0.15">
      <c r="A112" s="5" t="s">
        <v>772</v>
      </c>
      <c r="B112" s="6" t="s">
        <v>773</v>
      </c>
      <c r="C112" s="7">
        <v>38712186</v>
      </c>
      <c r="D112" s="8" t="s">
        <v>774</v>
      </c>
      <c r="E112" s="10" t="s">
        <v>228</v>
      </c>
      <c r="F112" s="14">
        <v>1</v>
      </c>
      <c r="G112" s="14">
        <v>1</v>
      </c>
      <c r="H112" s="14">
        <v>0</v>
      </c>
      <c r="I112" s="14">
        <v>1</v>
      </c>
      <c r="J112" s="14">
        <v>0</v>
      </c>
      <c r="K112" s="14">
        <v>1</v>
      </c>
      <c r="L112" s="7">
        <f t="shared" si="0"/>
        <v>4</v>
      </c>
      <c r="M112" s="15" t="s">
        <v>649</v>
      </c>
      <c r="N112" s="6" t="s">
        <v>775</v>
      </c>
      <c r="O112" s="6" t="s">
        <v>776</v>
      </c>
      <c r="P112" s="6" t="s">
        <v>777</v>
      </c>
      <c r="Q112" s="7">
        <v>2024</v>
      </c>
      <c r="R112" s="6" t="s">
        <v>34</v>
      </c>
      <c r="S112" s="6" t="s">
        <v>533</v>
      </c>
      <c r="T112" s="6"/>
      <c r="V112" s="7"/>
      <c r="W112" s="9"/>
      <c r="X112" s="9"/>
      <c r="Y112" s="9"/>
      <c r="Z112" s="6"/>
      <c r="AA112" s="6"/>
      <c r="AB112" s="6"/>
      <c r="AC112" s="6"/>
      <c r="AD112" s="6"/>
      <c r="AE112" s="6"/>
      <c r="AF112" s="6"/>
      <c r="AG112" s="6"/>
      <c r="AH112" s="6"/>
      <c r="AI112" s="6"/>
      <c r="AJ112" s="6"/>
    </row>
    <row r="113" spans="1:42" ht="13" x14ac:dyDescent="0.15">
      <c r="A113" s="5" t="s">
        <v>778</v>
      </c>
      <c r="B113" s="6" t="s">
        <v>779</v>
      </c>
      <c r="C113" s="7">
        <v>39083679</v>
      </c>
      <c r="D113" s="8" t="s">
        <v>780</v>
      </c>
      <c r="E113" s="10" t="s">
        <v>228</v>
      </c>
      <c r="F113" s="14">
        <v>1</v>
      </c>
      <c r="G113" s="14">
        <v>1</v>
      </c>
      <c r="H113" s="14">
        <v>1</v>
      </c>
      <c r="I113" s="14">
        <v>1</v>
      </c>
      <c r="J113" s="14">
        <v>1</v>
      </c>
      <c r="K113" s="14">
        <v>1</v>
      </c>
      <c r="L113" s="7">
        <f t="shared" si="0"/>
        <v>6</v>
      </c>
      <c r="M113" s="15" t="s">
        <v>607</v>
      </c>
      <c r="N113" s="6" t="s">
        <v>781</v>
      </c>
      <c r="O113" s="6" t="s">
        <v>782</v>
      </c>
      <c r="P113" s="6" t="s">
        <v>783</v>
      </c>
      <c r="Q113" s="7">
        <v>2024</v>
      </c>
      <c r="R113" s="6" t="s">
        <v>42</v>
      </c>
      <c r="S113" s="6" t="s">
        <v>224</v>
      </c>
      <c r="T113" s="6"/>
      <c r="V113" s="7"/>
      <c r="W113" s="9"/>
      <c r="X113" s="9"/>
      <c r="Y113" s="9"/>
      <c r="Z113" s="6"/>
      <c r="AA113" s="6"/>
      <c r="AB113" s="6"/>
      <c r="AC113" s="6"/>
      <c r="AD113" s="6"/>
      <c r="AE113" s="6"/>
      <c r="AF113" s="6"/>
      <c r="AG113" s="6"/>
      <c r="AH113" s="6"/>
      <c r="AI113" s="6"/>
      <c r="AJ113" s="6"/>
    </row>
    <row r="114" spans="1:42" ht="13" x14ac:dyDescent="0.15">
      <c r="A114" s="5" t="s">
        <v>784</v>
      </c>
      <c r="B114" s="6" t="s">
        <v>785</v>
      </c>
      <c r="C114" s="7">
        <v>38876161</v>
      </c>
      <c r="D114" s="8" t="s">
        <v>786</v>
      </c>
      <c r="E114" s="10" t="s">
        <v>228</v>
      </c>
      <c r="F114" s="14">
        <v>1</v>
      </c>
      <c r="G114" s="14">
        <v>1</v>
      </c>
      <c r="H114" s="14">
        <v>1</v>
      </c>
      <c r="I114" s="14">
        <v>1</v>
      </c>
      <c r="J114" s="14">
        <v>1</v>
      </c>
      <c r="K114" s="14">
        <v>1</v>
      </c>
      <c r="L114" s="7">
        <f t="shared" si="0"/>
        <v>6</v>
      </c>
      <c r="M114" s="15" t="s">
        <v>622</v>
      </c>
      <c r="N114" s="6" t="s">
        <v>787</v>
      </c>
      <c r="O114" s="6" t="s">
        <v>788</v>
      </c>
      <c r="P114" s="6" t="s">
        <v>789</v>
      </c>
      <c r="Q114" s="7">
        <v>2024</v>
      </c>
      <c r="R114" s="6" t="s">
        <v>50</v>
      </c>
      <c r="S114" s="6" t="s">
        <v>89</v>
      </c>
      <c r="T114" s="6"/>
      <c r="V114" s="7"/>
      <c r="W114" s="9"/>
      <c r="X114" s="9"/>
      <c r="Y114" s="9"/>
      <c r="Z114" s="6"/>
      <c r="AA114" s="6"/>
      <c r="AB114" s="6"/>
      <c r="AC114" s="6"/>
      <c r="AD114" s="6"/>
      <c r="AE114" s="6"/>
      <c r="AF114" s="6"/>
      <c r="AG114" s="6"/>
      <c r="AH114" s="6"/>
      <c r="AI114" s="6"/>
      <c r="AJ114" s="6"/>
    </row>
    <row r="115" spans="1:42" ht="13" x14ac:dyDescent="0.15">
      <c r="A115" s="5" t="s">
        <v>790</v>
      </c>
      <c r="B115" s="6" t="s">
        <v>791</v>
      </c>
      <c r="C115" s="7">
        <v>38982475</v>
      </c>
      <c r="D115" s="8" t="s">
        <v>792</v>
      </c>
      <c r="E115" s="10" t="s">
        <v>21</v>
      </c>
      <c r="F115" s="14">
        <v>1</v>
      </c>
      <c r="G115" s="14">
        <v>1</v>
      </c>
      <c r="H115" s="14">
        <v>1</v>
      </c>
      <c r="I115" s="14">
        <v>1</v>
      </c>
      <c r="J115" s="14">
        <v>1</v>
      </c>
      <c r="K115" s="14">
        <v>1</v>
      </c>
      <c r="L115" s="7">
        <f t="shared" si="0"/>
        <v>6</v>
      </c>
      <c r="M115" s="15" t="s">
        <v>793</v>
      </c>
      <c r="N115" s="6" t="s">
        <v>794</v>
      </c>
      <c r="O115" s="6" t="s">
        <v>795</v>
      </c>
      <c r="P115" s="6" t="s">
        <v>796</v>
      </c>
      <c r="Q115" s="7">
        <v>2024</v>
      </c>
      <c r="R115" s="6" t="s">
        <v>42</v>
      </c>
      <c r="S115" s="6" t="s">
        <v>27</v>
      </c>
      <c r="T115" s="6"/>
      <c r="V115" s="7"/>
      <c r="W115" s="9"/>
      <c r="X115" s="9"/>
      <c r="Y115" s="9"/>
      <c r="Z115" s="6"/>
      <c r="AA115" s="6"/>
      <c r="AB115" s="6"/>
      <c r="AC115" s="6"/>
      <c r="AD115" s="6"/>
      <c r="AE115" s="6"/>
      <c r="AF115" s="6"/>
      <c r="AG115" s="6"/>
      <c r="AH115" s="6"/>
      <c r="AI115" s="6"/>
      <c r="AJ115" s="6"/>
    </row>
    <row r="116" spans="1:42" ht="13" x14ac:dyDescent="0.15">
      <c r="A116" s="5" t="s">
        <v>797</v>
      </c>
      <c r="B116" s="6" t="s">
        <v>798</v>
      </c>
      <c r="C116" s="7">
        <v>35617296</v>
      </c>
      <c r="D116" s="8" t="s">
        <v>799</v>
      </c>
      <c r="E116" s="10" t="s">
        <v>228</v>
      </c>
      <c r="F116" s="14">
        <v>1</v>
      </c>
      <c r="G116" s="14">
        <v>1</v>
      </c>
      <c r="H116" s="14">
        <v>0</v>
      </c>
      <c r="I116" s="14">
        <v>0</v>
      </c>
      <c r="J116" s="14">
        <v>0</v>
      </c>
      <c r="K116" s="14">
        <v>1</v>
      </c>
      <c r="L116" s="7">
        <f t="shared" si="0"/>
        <v>3</v>
      </c>
      <c r="M116" s="15" t="s">
        <v>622</v>
      </c>
      <c r="N116" s="6" t="s">
        <v>800</v>
      </c>
      <c r="O116" s="6" t="s">
        <v>801</v>
      </c>
      <c r="P116" s="6" t="s">
        <v>802</v>
      </c>
      <c r="Q116" s="7">
        <v>2022</v>
      </c>
      <c r="R116" s="6" t="s">
        <v>119</v>
      </c>
      <c r="S116" s="6" t="s">
        <v>97</v>
      </c>
      <c r="T116" s="6"/>
      <c r="V116" s="7"/>
      <c r="W116" s="9"/>
      <c r="X116" s="9"/>
      <c r="Y116" s="9"/>
      <c r="Z116" s="6"/>
      <c r="AA116" s="6"/>
      <c r="AB116" s="6"/>
      <c r="AC116" s="6"/>
      <c r="AD116" s="6"/>
      <c r="AE116" s="6"/>
      <c r="AF116" s="6"/>
      <c r="AG116" s="6"/>
      <c r="AH116" s="6"/>
      <c r="AI116" s="6"/>
      <c r="AJ116" s="6"/>
    </row>
    <row r="117" spans="1:42" ht="13" x14ac:dyDescent="0.15">
      <c r="A117" s="5" t="s">
        <v>803</v>
      </c>
      <c r="B117" s="6" t="s">
        <v>804</v>
      </c>
      <c r="C117" s="7">
        <v>37208708</v>
      </c>
      <c r="D117" s="8" t="s">
        <v>805</v>
      </c>
      <c r="E117" s="10" t="s">
        <v>228</v>
      </c>
      <c r="F117" s="14">
        <v>1</v>
      </c>
      <c r="G117" s="14">
        <v>1</v>
      </c>
      <c r="H117" s="14">
        <v>0</v>
      </c>
      <c r="I117" s="14">
        <v>1</v>
      </c>
      <c r="J117" s="14">
        <v>0</v>
      </c>
      <c r="K117" s="14">
        <v>1</v>
      </c>
      <c r="L117" s="7">
        <f t="shared" si="0"/>
        <v>4</v>
      </c>
      <c r="M117" s="15" t="s">
        <v>806</v>
      </c>
      <c r="N117" s="6" t="s">
        <v>807</v>
      </c>
      <c r="O117" s="6" t="s">
        <v>808</v>
      </c>
      <c r="P117" s="6" t="s">
        <v>809</v>
      </c>
      <c r="Q117" s="7">
        <v>2023</v>
      </c>
      <c r="R117" s="6" t="s">
        <v>119</v>
      </c>
      <c r="S117" s="6" t="s">
        <v>27</v>
      </c>
      <c r="T117" s="6"/>
      <c r="V117" s="7"/>
      <c r="W117" s="9"/>
      <c r="X117" s="9"/>
      <c r="Y117" s="9"/>
      <c r="Z117" s="6"/>
      <c r="AA117" s="6"/>
      <c r="AB117" s="6"/>
      <c r="AC117" s="6"/>
      <c r="AD117" s="6"/>
      <c r="AE117" s="6"/>
      <c r="AF117" s="6"/>
      <c r="AG117" s="6"/>
      <c r="AH117" s="6"/>
      <c r="AI117" s="6"/>
      <c r="AJ117" s="6"/>
    </row>
    <row r="118" spans="1:42" ht="13" x14ac:dyDescent="0.15">
      <c r="A118" s="5" t="s">
        <v>810</v>
      </c>
      <c r="B118" s="6" t="s">
        <v>811</v>
      </c>
      <c r="C118" s="7">
        <v>29946436</v>
      </c>
      <c r="D118" s="8" t="s">
        <v>812</v>
      </c>
      <c r="E118" s="10" t="s">
        <v>228</v>
      </c>
      <c r="F118" s="7">
        <v>1</v>
      </c>
      <c r="G118" s="7">
        <v>1</v>
      </c>
      <c r="H118" s="14">
        <v>0</v>
      </c>
      <c r="I118" s="14">
        <v>1</v>
      </c>
      <c r="J118" s="14">
        <v>1</v>
      </c>
      <c r="K118" s="14">
        <v>1</v>
      </c>
      <c r="L118" s="7">
        <f t="shared" si="0"/>
        <v>5</v>
      </c>
      <c r="M118" s="15" t="s">
        <v>813</v>
      </c>
      <c r="N118" s="6" t="s">
        <v>814</v>
      </c>
      <c r="O118" s="6" t="s">
        <v>815</v>
      </c>
      <c r="P118" s="6" t="s">
        <v>816</v>
      </c>
      <c r="Q118" s="7">
        <v>2018</v>
      </c>
      <c r="R118" s="6" t="s">
        <v>26</v>
      </c>
      <c r="S118" s="6" t="s">
        <v>817</v>
      </c>
      <c r="T118" s="6"/>
      <c r="V118" s="6"/>
      <c r="W118" s="9"/>
      <c r="X118" s="9"/>
      <c r="Y118" s="9"/>
      <c r="Z118" s="6"/>
      <c r="AA118" s="6"/>
      <c r="AB118" s="6"/>
      <c r="AC118" s="6"/>
      <c r="AD118" s="6"/>
      <c r="AE118" s="6"/>
      <c r="AF118" s="6"/>
      <c r="AG118" s="6"/>
      <c r="AH118" s="6"/>
      <c r="AI118" s="6"/>
      <c r="AJ118" s="6"/>
    </row>
    <row r="119" spans="1:42" ht="13" x14ac:dyDescent="0.15">
      <c r="A119" s="5" t="s">
        <v>818</v>
      </c>
      <c r="B119" s="6" t="s">
        <v>819</v>
      </c>
      <c r="C119" s="6">
        <v>39425178</v>
      </c>
      <c r="D119" s="8" t="s">
        <v>820</v>
      </c>
      <c r="E119" s="10" t="s">
        <v>228</v>
      </c>
      <c r="F119" s="7">
        <v>1</v>
      </c>
      <c r="G119" s="7">
        <v>1</v>
      </c>
      <c r="H119" s="7">
        <v>0</v>
      </c>
      <c r="I119" s="7">
        <v>1</v>
      </c>
      <c r="J119" s="7">
        <v>1</v>
      </c>
      <c r="K119" s="7">
        <v>1</v>
      </c>
      <c r="L119" s="7">
        <f t="shared" si="0"/>
        <v>5</v>
      </c>
      <c r="M119" s="5" t="s">
        <v>768</v>
      </c>
      <c r="N119" s="6" t="s">
        <v>821</v>
      </c>
      <c r="O119" s="6" t="s">
        <v>822</v>
      </c>
      <c r="P119" s="6" t="s">
        <v>823</v>
      </c>
      <c r="Q119" s="7">
        <v>2024</v>
      </c>
      <c r="R119" s="6" t="s">
        <v>80</v>
      </c>
      <c r="S119" s="6" t="s">
        <v>824</v>
      </c>
      <c r="T119" s="6"/>
      <c r="V119" s="6"/>
      <c r="W119" s="9"/>
      <c r="X119" s="9"/>
      <c r="Y119" s="9"/>
      <c r="Z119" s="6"/>
      <c r="AA119" s="6"/>
      <c r="AB119" s="6"/>
      <c r="AC119" s="6"/>
      <c r="AD119" s="6"/>
      <c r="AE119" s="6"/>
      <c r="AF119" s="6"/>
      <c r="AG119" s="6"/>
      <c r="AH119" s="6"/>
      <c r="AI119" s="6"/>
      <c r="AJ119" s="6"/>
    </row>
    <row r="120" spans="1:42" ht="13" x14ac:dyDescent="0.15">
      <c r="A120" s="5" t="s">
        <v>825</v>
      </c>
      <c r="B120" s="6" t="s">
        <v>826</v>
      </c>
      <c r="C120" s="6">
        <v>39501325</v>
      </c>
      <c r="D120" s="8" t="s">
        <v>827</v>
      </c>
      <c r="E120" s="10" t="s">
        <v>228</v>
      </c>
      <c r="F120" s="7">
        <v>1</v>
      </c>
      <c r="G120" s="7">
        <v>1</v>
      </c>
      <c r="H120" s="7">
        <v>1</v>
      </c>
      <c r="I120" s="7">
        <v>1</v>
      </c>
      <c r="J120" s="7">
        <v>1</v>
      </c>
      <c r="K120" s="7">
        <v>1</v>
      </c>
      <c r="L120" s="7">
        <f t="shared" si="0"/>
        <v>6</v>
      </c>
      <c r="M120" s="5" t="s">
        <v>649</v>
      </c>
      <c r="N120" s="6" t="s">
        <v>828</v>
      </c>
      <c r="O120" s="6" t="s">
        <v>829</v>
      </c>
      <c r="P120" s="6" t="s">
        <v>830</v>
      </c>
      <c r="Q120" s="7">
        <v>2024</v>
      </c>
      <c r="R120" s="6" t="s">
        <v>59</v>
      </c>
      <c r="S120" s="6" t="s">
        <v>27</v>
      </c>
      <c r="T120" s="6"/>
      <c r="V120" s="6"/>
      <c r="W120" s="9"/>
      <c r="X120" s="9"/>
      <c r="Y120" s="9"/>
      <c r="Z120" s="6"/>
      <c r="AA120" s="6"/>
      <c r="AB120" s="6"/>
      <c r="AC120" s="6"/>
      <c r="AD120" s="6"/>
      <c r="AE120" s="6"/>
      <c r="AF120" s="6"/>
      <c r="AG120" s="6"/>
      <c r="AH120" s="6"/>
      <c r="AI120" s="6"/>
      <c r="AJ120" s="6"/>
    </row>
    <row r="121" spans="1:42" ht="13" x14ac:dyDescent="0.15">
      <c r="A121" s="12" t="s">
        <v>831</v>
      </c>
      <c r="B121" s="12" t="s">
        <v>832</v>
      </c>
      <c r="C121" s="12">
        <v>1</v>
      </c>
      <c r="D121" s="10" t="s">
        <v>833</v>
      </c>
      <c r="E121" s="10" t="s">
        <v>228</v>
      </c>
      <c r="F121" s="14">
        <v>1</v>
      </c>
      <c r="G121" s="14">
        <v>1</v>
      </c>
      <c r="H121" s="14">
        <v>1</v>
      </c>
      <c r="I121" s="14">
        <v>1</v>
      </c>
      <c r="J121" s="14">
        <v>0</v>
      </c>
      <c r="K121" s="14">
        <v>1</v>
      </c>
      <c r="L121" s="7">
        <f t="shared" si="0"/>
        <v>5</v>
      </c>
      <c r="M121" s="15" t="s">
        <v>670</v>
      </c>
      <c r="N121" s="12" t="s">
        <v>834</v>
      </c>
      <c r="Q121" s="12">
        <v>2025</v>
      </c>
      <c r="R121" s="12" t="s">
        <v>80</v>
      </c>
      <c r="S121" s="12" t="s">
        <v>224</v>
      </c>
    </row>
    <row r="122" spans="1:42" ht="13" x14ac:dyDescent="0.15">
      <c r="A122" s="5" t="s">
        <v>835</v>
      </c>
      <c r="B122" s="6" t="s">
        <v>836</v>
      </c>
      <c r="C122" s="6">
        <v>40463829</v>
      </c>
      <c r="D122" s="10" t="s">
        <v>837</v>
      </c>
      <c r="E122" s="10" t="s">
        <v>228</v>
      </c>
      <c r="F122" s="7">
        <v>1</v>
      </c>
      <c r="G122" s="7">
        <v>1</v>
      </c>
      <c r="H122" s="7">
        <v>0</v>
      </c>
      <c r="I122" s="7">
        <v>1</v>
      </c>
      <c r="J122" s="7">
        <v>0</v>
      </c>
      <c r="K122" s="7">
        <v>1</v>
      </c>
      <c r="L122" s="7">
        <f t="shared" si="0"/>
        <v>4</v>
      </c>
      <c r="M122" s="5" t="s">
        <v>607</v>
      </c>
      <c r="N122" s="6" t="s">
        <v>838</v>
      </c>
      <c r="Q122" s="6">
        <v>2025</v>
      </c>
      <c r="R122" s="12" t="s">
        <v>839</v>
      </c>
      <c r="S122" s="6" t="s">
        <v>700</v>
      </c>
      <c r="U122" s="6"/>
      <c r="V122" s="6"/>
      <c r="W122" s="6"/>
      <c r="X122" s="6"/>
      <c r="Y122" s="6"/>
      <c r="Z122" s="6"/>
      <c r="AA122" s="6"/>
      <c r="AB122" s="6"/>
      <c r="AC122" s="6"/>
      <c r="AD122" s="6"/>
      <c r="AE122" s="6"/>
      <c r="AF122" s="6"/>
      <c r="AG122" s="6"/>
      <c r="AH122" s="6"/>
      <c r="AI122" s="6"/>
    </row>
    <row r="123" spans="1:42" ht="13" x14ac:dyDescent="0.15">
      <c r="A123" s="18"/>
      <c r="B123" s="19"/>
      <c r="C123" s="19"/>
      <c r="D123" s="19"/>
      <c r="E123" s="19"/>
      <c r="F123" s="20"/>
      <c r="G123" s="20"/>
      <c r="H123" s="20"/>
      <c r="I123" s="20"/>
      <c r="J123" s="20"/>
      <c r="K123" s="20"/>
      <c r="L123" s="20"/>
      <c r="M123" s="18"/>
      <c r="N123" s="19"/>
      <c r="O123" s="19"/>
      <c r="P123" s="19"/>
      <c r="Q123" s="19"/>
      <c r="R123" s="19"/>
      <c r="S123" s="19"/>
      <c r="T123" s="19"/>
      <c r="U123" s="19"/>
      <c r="V123" s="19"/>
      <c r="W123" s="19"/>
      <c r="X123" s="19"/>
      <c r="Y123" s="19"/>
      <c r="Z123" s="19"/>
      <c r="AA123" s="19"/>
      <c r="AB123" s="19"/>
      <c r="AC123" s="19"/>
      <c r="AD123" s="19"/>
      <c r="AE123" s="21"/>
      <c r="AF123" s="21"/>
      <c r="AG123" s="19"/>
      <c r="AH123" s="19"/>
      <c r="AI123" s="19"/>
      <c r="AJ123" s="19"/>
      <c r="AK123" s="19"/>
      <c r="AL123" s="19"/>
      <c r="AM123" s="19"/>
      <c r="AN123" s="19"/>
      <c r="AO123" s="19"/>
      <c r="AP123" s="19"/>
    </row>
    <row r="124" spans="1:42" ht="13" x14ac:dyDescent="0.15">
      <c r="A124" s="15" t="s">
        <v>840</v>
      </c>
      <c r="B124" s="6" t="s">
        <v>841</v>
      </c>
      <c r="C124" s="6">
        <v>40666313</v>
      </c>
      <c r="D124" s="8" t="s">
        <v>842</v>
      </c>
      <c r="E124" s="10" t="s">
        <v>228</v>
      </c>
      <c r="F124" s="7">
        <v>1</v>
      </c>
      <c r="G124" s="7">
        <v>1</v>
      </c>
      <c r="H124" s="7">
        <v>1</v>
      </c>
      <c r="I124" s="7">
        <v>1</v>
      </c>
      <c r="J124" s="7">
        <v>1</v>
      </c>
      <c r="K124" s="7">
        <v>1</v>
      </c>
      <c r="L124" s="7">
        <f t="shared" ref="L124:L134" si="1">SUM(F124:K124)</f>
        <v>6</v>
      </c>
      <c r="M124" s="5" t="s">
        <v>607</v>
      </c>
      <c r="N124" s="6" t="s">
        <v>843</v>
      </c>
      <c r="Q124" s="6">
        <v>2025</v>
      </c>
      <c r="R124" s="12" t="s">
        <v>66</v>
      </c>
      <c r="S124" s="6" t="s">
        <v>533</v>
      </c>
      <c r="U124" s="6"/>
      <c r="V124" s="6"/>
      <c r="W124" s="6"/>
      <c r="X124" s="6"/>
      <c r="Y124" s="6"/>
      <c r="Z124" s="13"/>
      <c r="AA124" s="6"/>
      <c r="AB124" s="6"/>
      <c r="AC124" s="6"/>
      <c r="AD124" s="6"/>
      <c r="AE124" s="6"/>
      <c r="AF124" s="6"/>
      <c r="AG124" s="6"/>
      <c r="AH124" s="6"/>
      <c r="AI124" s="6"/>
    </row>
    <row r="125" spans="1:42" ht="13" x14ac:dyDescent="0.15">
      <c r="A125" s="15" t="s">
        <v>840</v>
      </c>
      <c r="B125" s="6" t="s">
        <v>844</v>
      </c>
      <c r="C125" s="6">
        <v>40681807</v>
      </c>
      <c r="D125" s="8" t="s">
        <v>845</v>
      </c>
      <c r="E125" s="10" t="s">
        <v>228</v>
      </c>
      <c r="F125" s="7">
        <v>1</v>
      </c>
      <c r="G125" s="7">
        <v>1</v>
      </c>
      <c r="H125" s="7">
        <v>1</v>
      </c>
      <c r="I125" s="7">
        <v>1</v>
      </c>
      <c r="J125" s="7">
        <v>1</v>
      </c>
      <c r="K125" s="7">
        <v>1</v>
      </c>
      <c r="L125" s="7">
        <f t="shared" si="1"/>
        <v>6</v>
      </c>
      <c r="M125" s="5" t="s">
        <v>607</v>
      </c>
      <c r="N125" s="6" t="s">
        <v>846</v>
      </c>
      <c r="Q125" s="6">
        <v>2025</v>
      </c>
      <c r="R125" s="12" t="s">
        <v>42</v>
      </c>
      <c r="S125" s="6" t="s">
        <v>847</v>
      </c>
      <c r="U125" s="6"/>
      <c r="V125" s="6"/>
      <c r="W125" s="6"/>
      <c r="X125" s="6"/>
      <c r="Y125" s="6"/>
      <c r="Z125" s="6"/>
      <c r="AA125" s="6"/>
      <c r="AB125" s="6"/>
      <c r="AC125" s="6"/>
      <c r="AD125" s="6"/>
      <c r="AE125" s="6"/>
      <c r="AF125" s="6"/>
      <c r="AG125" s="6"/>
      <c r="AH125" s="6"/>
      <c r="AI125" s="6"/>
    </row>
    <row r="126" spans="1:42" ht="13" x14ac:dyDescent="0.15">
      <c r="A126" s="15" t="s">
        <v>840</v>
      </c>
      <c r="B126" s="6" t="s">
        <v>848</v>
      </c>
      <c r="C126" s="6" t="s">
        <v>849</v>
      </c>
      <c r="D126" s="8" t="s">
        <v>850</v>
      </c>
      <c r="E126" s="10" t="s">
        <v>228</v>
      </c>
      <c r="F126" s="7">
        <v>1</v>
      </c>
      <c r="G126" s="7">
        <v>1</v>
      </c>
      <c r="H126" s="7">
        <v>1</v>
      </c>
      <c r="I126" s="7">
        <v>1</v>
      </c>
      <c r="J126" s="7">
        <v>1</v>
      </c>
      <c r="K126" s="7">
        <v>1</v>
      </c>
      <c r="L126" s="7">
        <f t="shared" si="1"/>
        <v>6</v>
      </c>
      <c r="M126" s="5" t="s">
        <v>768</v>
      </c>
      <c r="N126" s="6" t="s">
        <v>851</v>
      </c>
      <c r="Q126" s="6">
        <v>2025</v>
      </c>
      <c r="R126" s="12" t="s">
        <v>42</v>
      </c>
      <c r="S126" s="6" t="s">
        <v>533</v>
      </c>
      <c r="U126" s="6"/>
      <c r="V126" s="6"/>
      <c r="W126" s="6"/>
      <c r="X126" s="6"/>
      <c r="Y126" s="6"/>
      <c r="Z126" s="6"/>
      <c r="AA126" s="6"/>
      <c r="AB126" s="6"/>
      <c r="AC126" s="6"/>
      <c r="AD126" s="6"/>
      <c r="AE126" s="6"/>
      <c r="AF126" s="6"/>
      <c r="AG126" s="6"/>
      <c r="AH126" s="6"/>
      <c r="AI126" s="6"/>
    </row>
    <row r="127" spans="1:42" ht="13" x14ac:dyDescent="0.15">
      <c r="A127" s="15" t="s">
        <v>840</v>
      </c>
      <c r="B127" s="6" t="s">
        <v>852</v>
      </c>
      <c r="C127" s="6">
        <v>40802860</v>
      </c>
      <c r="D127" s="8" t="s">
        <v>853</v>
      </c>
      <c r="E127" s="10" t="s">
        <v>228</v>
      </c>
      <c r="F127" s="7">
        <v>1</v>
      </c>
      <c r="G127" s="7">
        <v>1</v>
      </c>
      <c r="H127" s="7">
        <v>1</v>
      </c>
      <c r="I127" s="7">
        <v>1</v>
      </c>
      <c r="J127" s="7">
        <v>1</v>
      </c>
      <c r="K127" s="7">
        <v>1</v>
      </c>
      <c r="L127" s="7">
        <f t="shared" si="1"/>
        <v>6</v>
      </c>
      <c r="M127" s="5" t="s">
        <v>854</v>
      </c>
      <c r="N127" s="6" t="s">
        <v>855</v>
      </c>
      <c r="Q127" s="6">
        <v>2025</v>
      </c>
      <c r="R127" s="12" t="s">
        <v>96</v>
      </c>
      <c r="S127" s="6" t="s">
        <v>224</v>
      </c>
      <c r="U127" s="6"/>
      <c r="V127" s="6"/>
      <c r="W127" s="6"/>
      <c r="X127" s="6"/>
      <c r="Y127" s="6"/>
      <c r="Z127" s="6"/>
      <c r="AA127" s="6"/>
      <c r="AB127" s="6"/>
      <c r="AC127" s="6"/>
      <c r="AD127" s="6"/>
      <c r="AE127" s="6"/>
      <c r="AF127" s="6"/>
      <c r="AG127" s="6"/>
      <c r="AH127" s="6"/>
      <c r="AI127" s="6"/>
    </row>
    <row r="128" spans="1:42" ht="13" x14ac:dyDescent="0.15">
      <c r="A128" s="15" t="s">
        <v>840</v>
      </c>
      <c r="B128" s="6" t="s">
        <v>856</v>
      </c>
      <c r="C128" s="6" t="s">
        <v>849</v>
      </c>
      <c r="D128" s="8" t="s">
        <v>857</v>
      </c>
      <c r="E128" s="10" t="s">
        <v>228</v>
      </c>
      <c r="F128" s="7">
        <v>1</v>
      </c>
      <c r="G128" s="7">
        <v>1</v>
      </c>
      <c r="H128" s="7">
        <v>1</v>
      </c>
      <c r="I128" s="7">
        <v>1</v>
      </c>
      <c r="J128" s="7">
        <v>1</v>
      </c>
      <c r="K128" s="7">
        <v>1</v>
      </c>
      <c r="L128" s="7">
        <f t="shared" si="1"/>
        <v>6</v>
      </c>
      <c r="M128" s="5" t="s">
        <v>622</v>
      </c>
      <c r="N128" s="6" t="s">
        <v>858</v>
      </c>
      <c r="Q128" s="6">
        <v>2025</v>
      </c>
      <c r="R128" s="12" t="s">
        <v>59</v>
      </c>
      <c r="S128" s="6" t="s">
        <v>533</v>
      </c>
      <c r="U128" s="6"/>
      <c r="V128" s="6"/>
      <c r="W128" s="6"/>
      <c r="X128" s="6"/>
      <c r="Y128" s="6"/>
      <c r="Z128" s="6"/>
      <c r="AA128" s="6"/>
      <c r="AB128" s="6"/>
      <c r="AC128" s="6"/>
      <c r="AD128" s="6"/>
      <c r="AE128" s="6"/>
      <c r="AF128" s="6"/>
      <c r="AG128" s="6"/>
      <c r="AH128" s="6"/>
      <c r="AI128" s="6"/>
    </row>
    <row r="129" spans="1:35" ht="13" x14ac:dyDescent="0.15">
      <c r="A129" s="15" t="s">
        <v>840</v>
      </c>
      <c r="B129" s="6" t="s">
        <v>859</v>
      </c>
      <c r="C129" s="6" t="s">
        <v>849</v>
      </c>
      <c r="D129" s="8" t="s">
        <v>860</v>
      </c>
      <c r="E129" s="10" t="s">
        <v>228</v>
      </c>
      <c r="F129" s="7">
        <v>1</v>
      </c>
      <c r="G129" s="7">
        <v>1</v>
      </c>
      <c r="H129" s="7">
        <v>1</v>
      </c>
      <c r="I129" s="7">
        <v>1</v>
      </c>
      <c r="J129" s="7">
        <v>1</v>
      </c>
      <c r="K129" s="7">
        <v>1</v>
      </c>
      <c r="L129" s="7">
        <f t="shared" si="1"/>
        <v>6</v>
      </c>
      <c r="M129" s="5" t="s">
        <v>861</v>
      </c>
      <c r="N129" s="6" t="s">
        <v>862</v>
      </c>
      <c r="Q129" s="6">
        <v>2025</v>
      </c>
      <c r="R129" s="12" t="s">
        <v>59</v>
      </c>
      <c r="S129" s="6" t="s">
        <v>533</v>
      </c>
      <c r="U129" s="6"/>
      <c r="V129" s="6"/>
      <c r="W129" s="6"/>
      <c r="X129" s="6"/>
      <c r="Y129" s="6"/>
      <c r="Z129" s="6"/>
      <c r="AA129" s="6"/>
      <c r="AB129" s="6"/>
      <c r="AC129" s="6"/>
      <c r="AD129" s="6"/>
      <c r="AE129" s="6"/>
      <c r="AF129" s="6"/>
      <c r="AG129" s="6"/>
      <c r="AH129" s="6"/>
      <c r="AI129" s="6"/>
    </row>
    <row r="130" spans="1:35" ht="13" x14ac:dyDescent="0.15">
      <c r="A130" s="15" t="s">
        <v>840</v>
      </c>
      <c r="B130" s="6" t="s">
        <v>863</v>
      </c>
      <c r="C130" s="6">
        <v>40832414</v>
      </c>
      <c r="D130" s="8" t="s">
        <v>864</v>
      </c>
      <c r="E130" s="10" t="s">
        <v>228</v>
      </c>
      <c r="F130" s="7">
        <v>1</v>
      </c>
      <c r="G130" s="7">
        <v>1</v>
      </c>
      <c r="H130" s="7">
        <v>1</v>
      </c>
      <c r="I130" s="7">
        <v>1</v>
      </c>
      <c r="J130" s="7">
        <v>1</v>
      </c>
      <c r="K130" s="7">
        <v>1</v>
      </c>
      <c r="L130" s="7">
        <f t="shared" si="1"/>
        <v>6</v>
      </c>
      <c r="M130" s="5" t="s">
        <v>865</v>
      </c>
      <c r="N130" s="6" t="s">
        <v>866</v>
      </c>
      <c r="Q130" s="6">
        <v>2025</v>
      </c>
      <c r="R130" s="12" t="s">
        <v>96</v>
      </c>
      <c r="S130" s="6" t="s">
        <v>533</v>
      </c>
      <c r="U130" s="6"/>
      <c r="V130" s="6"/>
      <c r="W130" s="6"/>
      <c r="X130" s="6"/>
      <c r="Y130" s="6"/>
      <c r="Z130" s="6"/>
      <c r="AA130" s="6"/>
      <c r="AB130" s="6"/>
      <c r="AC130" s="6"/>
      <c r="AD130" s="6"/>
      <c r="AE130" s="6"/>
      <c r="AF130" s="6"/>
      <c r="AG130" s="6"/>
      <c r="AH130" s="6"/>
      <c r="AI130" s="6"/>
    </row>
    <row r="131" spans="1:35" ht="13" x14ac:dyDescent="0.15">
      <c r="A131" s="15" t="s">
        <v>840</v>
      </c>
      <c r="B131" s="6" t="s">
        <v>867</v>
      </c>
      <c r="C131" s="6">
        <v>37221018</v>
      </c>
      <c r="D131" s="8" t="s">
        <v>868</v>
      </c>
      <c r="E131" s="10" t="s">
        <v>228</v>
      </c>
      <c r="F131" s="7">
        <v>1</v>
      </c>
      <c r="G131" s="7">
        <v>1</v>
      </c>
      <c r="H131" s="7">
        <v>1</v>
      </c>
      <c r="I131" s="7">
        <v>1</v>
      </c>
      <c r="J131" s="7">
        <v>1</v>
      </c>
      <c r="K131" s="7">
        <v>1</v>
      </c>
      <c r="L131" s="7">
        <f t="shared" si="1"/>
        <v>6</v>
      </c>
      <c r="M131" s="5" t="s">
        <v>656</v>
      </c>
      <c r="N131" s="6" t="s">
        <v>869</v>
      </c>
      <c r="Q131" s="6">
        <v>2023</v>
      </c>
      <c r="R131" s="12" t="s">
        <v>80</v>
      </c>
      <c r="S131" s="6" t="s">
        <v>224</v>
      </c>
      <c r="U131" s="6"/>
      <c r="V131" s="6"/>
      <c r="W131" s="6"/>
      <c r="X131" s="6"/>
      <c r="Y131" s="6"/>
      <c r="Z131" s="6"/>
      <c r="AA131" s="6"/>
      <c r="AB131" s="6"/>
      <c r="AC131" s="6"/>
      <c r="AD131" s="6"/>
      <c r="AE131" s="6"/>
      <c r="AF131" s="6"/>
      <c r="AG131" s="6"/>
      <c r="AH131" s="6"/>
      <c r="AI131" s="6"/>
    </row>
    <row r="132" spans="1:35" ht="13" x14ac:dyDescent="0.15">
      <c r="A132" s="23" t="s">
        <v>870</v>
      </c>
      <c r="B132" s="23" t="s">
        <v>871</v>
      </c>
      <c r="C132" s="23">
        <v>38594679</v>
      </c>
      <c r="D132" s="24" t="s">
        <v>872</v>
      </c>
      <c r="E132" s="10" t="s">
        <v>228</v>
      </c>
      <c r="F132" s="25">
        <v>1</v>
      </c>
      <c r="G132" s="25">
        <v>1</v>
      </c>
      <c r="H132" s="25">
        <v>0</v>
      </c>
      <c r="I132" s="25">
        <v>1</v>
      </c>
      <c r="J132" s="25">
        <v>1</v>
      </c>
      <c r="K132" s="25">
        <v>1</v>
      </c>
      <c r="L132" s="7">
        <f t="shared" si="1"/>
        <v>5</v>
      </c>
      <c r="M132" s="22" t="s">
        <v>622</v>
      </c>
      <c r="N132" s="23" t="s">
        <v>873</v>
      </c>
      <c r="O132" s="11"/>
      <c r="P132" s="11"/>
      <c r="Q132" s="23">
        <v>2024</v>
      </c>
      <c r="R132" s="11" t="s">
        <v>34</v>
      </c>
      <c r="S132" s="23" t="s">
        <v>874</v>
      </c>
      <c r="T132" s="11"/>
      <c r="U132" s="6"/>
      <c r="V132" s="6"/>
      <c r="W132" s="6"/>
      <c r="X132" s="6"/>
      <c r="Y132" s="6"/>
      <c r="Z132" s="6"/>
      <c r="AA132" s="6"/>
      <c r="AB132" s="6"/>
      <c r="AC132" s="6"/>
      <c r="AD132" s="6"/>
      <c r="AE132" s="6"/>
      <c r="AF132" s="6"/>
      <c r="AG132" s="6"/>
      <c r="AH132" s="6"/>
      <c r="AI132" s="6"/>
    </row>
    <row r="133" spans="1:35" ht="13" x14ac:dyDescent="0.15">
      <c r="A133" s="22" t="s">
        <v>870</v>
      </c>
      <c r="B133" s="23" t="s">
        <v>875</v>
      </c>
      <c r="C133" s="23">
        <v>40439506</v>
      </c>
      <c r="D133" s="24" t="s">
        <v>876</v>
      </c>
      <c r="E133" s="10" t="s">
        <v>228</v>
      </c>
      <c r="F133" s="25">
        <v>1</v>
      </c>
      <c r="G133" s="25">
        <v>1</v>
      </c>
      <c r="H133" s="25">
        <v>1</v>
      </c>
      <c r="I133" s="25">
        <v>1</v>
      </c>
      <c r="J133" s="25">
        <v>1</v>
      </c>
      <c r="K133" s="25">
        <v>1</v>
      </c>
      <c r="L133" s="7">
        <f t="shared" si="1"/>
        <v>6</v>
      </c>
      <c r="M133" s="22" t="s">
        <v>813</v>
      </c>
      <c r="N133" s="23" t="s">
        <v>877</v>
      </c>
      <c r="O133" s="11"/>
      <c r="P133" s="11"/>
      <c r="Q133" s="23">
        <v>2025</v>
      </c>
      <c r="R133" s="23" t="s">
        <v>88</v>
      </c>
      <c r="S133" s="23" t="s">
        <v>878</v>
      </c>
      <c r="T133" s="23"/>
      <c r="U133" s="6"/>
      <c r="V133" s="6"/>
      <c r="W133" s="6"/>
      <c r="X133" s="6"/>
      <c r="Y133" s="6"/>
      <c r="Z133" s="6"/>
      <c r="AA133" s="6"/>
      <c r="AB133" s="6"/>
      <c r="AC133" s="6"/>
      <c r="AD133" s="6"/>
      <c r="AE133" s="6"/>
      <c r="AF133" s="6"/>
      <c r="AG133" s="6"/>
      <c r="AH133" s="6"/>
      <c r="AI133" s="6"/>
    </row>
    <row r="134" spans="1:35" ht="13" x14ac:dyDescent="0.15">
      <c r="A134" s="12" t="s">
        <v>870</v>
      </c>
      <c r="B134" s="12" t="s">
        <v>879</v>
      </c>
      <c r="C134" s="12">
        <v>40744004</v>
      </c>
      <c r="D134" s="10" t="s">
        <v>880</v>
      </c>
      <c r="E134" s="10" t="s">
        <v>228</v>
      </c>
      <c r="F134" s="14">
        <v>1</v>
      </c>
      <c r="G134" s="14">
        <v>1</v>
      </c>
      <c r="H134" s="14">
        <v>1</v>
      </c>
      <c r="I134" s="14">
        <v>1</v>
      </c>
      <c r="J134" s="14">
        <v>1</v>
      </c>
      <c r="K134" s="14">
        <v>1</v>
      </c>
      <c r="L134" s="7">
        <f t="shared" si="1"/>
        <v>6</v>
      </c>
      <c r="M134" s="15" t="s">
        <v>881</v>
      </c>
      <c r="N134" s="12" t="s">
        <v>882</v>
      </c>
      <c r="Q134" s="12">
        <v>2025</v>
      </c>
      <c r="R134" s="12" t="s">
        <v>42</v>
      </c>
      <c r="S134" s="12" t="s">
        <v>883</v>
      </c>
    </row>
    <row r="135" spans="1:35" ht="13" x14ac:dyDescent="0.15">
      <c r="D135" s="10"/>
      <c r="E135" s="10"/>
      <c r="F135" s="14"/>
      <c r="G135" s="14"/>
      <c r="H135" s="14"/>
      <c r="I135" s="14"/>
      <c r="J135" s="14"/>
      <c r="K135" s="14"/>
      <c r="L135" s="14"/>
      <c r="M135" s="15"/>
      <c r="N135" s="12"/>
    </row>
    <row r="136" spans="1:35" ht="13" x14ac:dyDescent="0.15">
      <c r="D136" s="10"/>
      <c r="E136" s="10" t="s">
        <v>884</v>
      </c>
      <c r="F136" s="14">
        <f t="shared" ref="F136:K136" si="2">COUNTIFS(F2:F134, 0)</f>
        <v>1</v>
      </c>
      <c r="G136" s="14">
        <f t="shared" si="2"/>
        <v>0</v>
      </c>
      <c r="H136" s="14">
        <f t="shared" si="2"/>
        <v>55</v>
      </c>
      <c r="I136" s="14">
        <f t="shared" si="2"/>
        <v>22</v>
      </c>
      <c r="J136" s="14">
        <f t="shared" si="2"/>
        <v>37</v>
      </c>
      <c r="K136" s="14">
        <f t="shared" si="2"/>
        <v>3</v>
      </c>
      <c r="L136" s="14"/>
      <c r="M136" s="15"/>
      <c r="N136" s="12"/>
    </row>
    <row r="137" spans="1:35" ht="13" x14ac:dyDescent="0.15">
      <c r="D137" s="10"/>
      <c r="E137" s="10" t="s">
        <v>885</v>
      </c>
      <c r="F137" s="14">
        <f t="shared" ref="F137:J137" si="3">F136*100/131</f>
        <v>0.76335877862595425</v>
      </c>
      <c r="G137" s="14">
        <f t="shared" si="3"/>
        <v>0</v>
      </c>
      <c r="H137" s="14">
        <f t="shared" si="3"/>
        <v>41.984732824427482</v>
      </c>
      <c r="I137" s="14">
        <f t="shared" si="3"/>
        <v>16.793893129770993</v>
      </c>
      <c r="J137" s="14">
        <f t="shared" si="3"/>
        <v>28.244274809160306</v>
      </c>
      <c r="K137" s="14">
        <f>K136*100/132</f>
        <v>2.2727272727272729</v>
      </c>
      <c r="L137" s="14"/>
      <c r="M137" s="15"/>
      <c r="N137" s="12"/>
    </row>
    <row r="138" spans="1:35" ht="13" x14ac:dyDescent="0.15">
      <c r="A138" s="15"/>
      <c r="D138" s="10"/>
      <c r="E138" s="10" t="s">
        <v>886</v>
      </c>
      <c r="F138" s="14">
        <f t="shared" ref="F138:K138" si="4">100-F137</f>
        <v>99.236641221374043</v>
      </c>
      <c r="G138" s="14">
        <f t="shared" si="4"/>
        <v>100</v>
      </c>
      <c r="H138" s="14">
        <f t="shared" si="4"/>
        <v>58.015267175572518</v>
      </c>
      <c r="I138" s="14">
        <f t="shared" si="4"/>
        <v>83.206106870229007</v>
      </c>
      <c r="J138" s="14">
        <f t="shared" si="4"/>
        <v>71.755725190839698</v>
      </c>
      <c r="K138" s="14">
        <f t="shared" si="4"/>
        <v>97.727272727272734</v>
      </c>
      <c r="L138" s="14"/>
      <c r="M138" s="15"/>
      <c r="N138" s="12"/>
    </row>
    <row r="139" spans="1:35" ht="13" x14ac:dyDescent="0.15">
      <c r="A139" s="5"/>
      <c r="B139" s="23"/>
      <c r="C139" s="23"/>
      <c r="D139" s="24"/>
      <c r="E139" s="24"/>
      <c r="F139" s="25"/>
      <c r="G139" s="25"/>
      <c r="H139" s="25"/>
      <c r="I139" s="25"/>
      <c r="J139" s="25"/>
      <c r="K139" s="25"/>
      <c r="L139" s="25"/>
      <c r="M139" s="22"/>
      <c r="N139" s="23"/>
      <c r="O139" s="11"/>
      <c r="P139" s="11"/>
      <c r="Q139" s="23"/>
      <c r="R139" s="11"/>
      <c r="S139" s="23"/>
      <c r="T139" s="11"/>
      <c r="U139" s="6"/>
      <c r="V139" s="6"/>
      <c r="W139" s="6"/>
      <c r="X139" s="6"/>
      <c r="Y139" s="6"/>
      <c r="Z139" s="6"/>
      <c r="AA139" s="6"/>
      <c r="AB139" s="6"/>
      <c r="AC139" s="6"/>
      <c r="AD139" s="6"/>
      <c r="AE139" s="6"/>
      <c r="AF139" s="6"/>
      <c r="AG139" s="6"/>
      <c r="AH139" s="6"/>
      <c r="AI139" s="6"/>
    </row>
    <row r="140" spans="1:35" ht="13" x14ac:dyDescent="0.15">
      <c r="A140" s="15"/>
      <c r="D140" s="10"/>
      <c r="E140" s="10"/>
      <c r="F140" s="14"/>
      <c r="G140" s="14"/>
      <c r="H140" s="14"/>
      <c r="I140" s="14"/>
      <c r="J140" s="14"/>
      <c r="K140" s="14"/>
      <c r="L140" s="14"/>
      <c r="M140" s="15"/>
      <c r="N140" s="12"/>
    </row>
    <row r="141" spans="1:35" ht="13" x14ac:dyDescent="0.15">
      <c r="A141" s="15"/>
      <c r="D141" s="10"/>
      <c r="E141" s="10"/>
      <c r="F141" s="14"/>
      <c r="G141" s="14"/>
      <c r="H141" s="14"/>
      <c r="I141" s="14"/>
      <c r="J141" s="14"/>
      <c r="K141" s="14"/>
      <c r="L141" s="14"/>
      <c r="M141" s="15"/>
      <c r="N141" s="12"/>
    </row>
    <row r="142" spans="1:35" ht="13" x14ac:dyDescent="0.15">
      <c r="A142" s="15"/>
      <c r="D142" s="10"/>
      <c r="E142" s="10"/>
      <c r="F142" s="14"/>
      <c r="G142" s="14"/>
      <c r="H142" s="14"/>
      <c r="I142" s="14"/>
      <c r="J142" s="14"/>
      <c r="K142" s="14"/>
      <c r="L142" s="14"/>
      <c r="M142" s="15"/>
      <c r="N142" s="12"/>
    </row>
    <row r="143" spans="1:35" ht="13" x14ac:dyDescent="0.15">
      <c r="A143" s="15"/>
      <c r="D143" s="10"/>
      <c r="E143" s="10"/>
      <c r="F143" s="14"/>
      <c r="G143" s="14"/>
      <c r="H143" s="14"/>
      <c r="I143" s="14"/>
      <c r="J143" s="14"/>
      <c r="K143" s="14"/>
      <c r="L143" s="14"/>
      <c r="M143" s="15"/>
      <c r="N143" s="12"/>
    </row>
    <row r="144" spans="1:35" ht="13" x14ac:dyDescent="0.15">
      <c r="A144" s="15"/>
      <c r="D144" s="10"/>
      <c r="E144" s="10"/>
      <c r="F144" s="14"/>
      <c r="G144" s="14"/>
      <c r="H144" s="14"/>
      <c r="I144" s="14"/>
      <c r="J144" s="14"/>
      <c r="K144" s="14"/>
      <c r="L144" s="14"/>
      <c r="M144" s="15"/>
      <c r="N144" s="12"/>
    </row>
    <row r="145" spans="1:14" ht="13" x14ac:dyDescent="0.15">
      <c r="A145" s="15"/>
      <c r="D145" s="10"/>
      <c r="E145" s="10"/>
      <c r="F145" s="14"/>
      <c r="G145" s="14"/>
      <c r="H145" s="14"/>
      <c r="I145" s="14"/>
      <c r="J145" s="14"/>
      <c r="K145" s="14"/>
      <c r="L145" s="14"/>
      <c r="M145" s="15"/>
      <c r="N145" s="12"/>
    </row>
    <row r="146" spans="1:14" ht="13" x14ac:dyDescent="0.15">
      <c r="A146" s="15"/>
      <c r="D146" s="10"/>
      <c r="E146" s="10"/>
      <c r="F146" s="14"/>
      <c r="G146" s="14"/>
      <c r="H146" s="14"/>
      <c r="I146" s="14"/>
      <c r="J146" s="14"/>
      <c r="K146" s="14"/>
      <c r="L146" s="14"/>
      <c r="M146" s="15"/>
      <c r="N146" s="12"/>
    </row>
    <row r="147" spans="1:14" ht="13" x14ac:dyDescent="0.15">
      <c r="A147" s="15"/>
      <c r="D147" s="10"/>
      <c r="E147" s="10"/>
      <c r="F147" s="14"/>
      <c r="G147" s="14"/>
      <c r="H147" s="14"/>
      <c r="I147" s="14"/>
      <c r="J147" s="14"/>
      <c r="K147" s="14"/>
      <c r="L147" s="14"/>
      <c r="M147" s="15"/>
      <c r="N147" s="12"/>
    </row>
    <row r="148" spans="1:14" ht="13" x14ac:dyDescent="0.15">
      <c r="A148" s="15"/>
      <c r="D148" s="10"/>
      <c r="E148" s="10"/>
      <c r="F148" s="14"/>
      <c r="G148" s="14"/>
      <c r="H148" s="14"/>
      <c r="I148" s="14"/>
      <c r="J148" s="14"/>
      <c r="K148" s="14"/>
      <c r="L148" s="14"/>
      <c r="M148" s="15"/>
      <c r="N148" s="12"/>
    </row>
    <row r="149" spans="1:14" ht="13" x14ac:dyDescent="0.15">
      <c r="A149" s="15"/>
      <c r="D149" s="10"/>
      <c r="E149" s="10"/>
      <c r="F149" s="14"/>
      <c r="G149" s="14"/>
      <c r="H149" s="14"/>
      <c r="I149" s="14"/>
      <c r="J149" s="14"/>
      <c r="K149" s="14"/>
      <c r="L149" s="14"/>
      <c r="M149" s="15"/>
      <c r="N149" s="12"/>
    </row>
    <row r="150" spans="1:14" ht="13" x14ac:dyDescent="0.15">
      <c r="A150" s="15"/>
      <c r="D150" s="10"/>
      <c r="E150" s="10"/>
      <c r="F150" s="14"/>
      <c r="G150" s="14"/>
      <c r="H150" s="14"/>
      <c r="I150" s="14"/>
      <c r="J150" s="14"/>
      <c r="K150" s="14"/>
      <c r="L150" s="14"/>
      <c r="M150" s="15"/>
      <c r="N150" s="12"/>
    </row>
    <row r="151" spans="1:14" ht="13" x14ac:dyDescent="0.15">
      <c r="A151" s="15"/>
      <c r="D151" s="10"/>
      <c r="E151" s="10"/>
      <c r="F151" s="14"/>
      <c r="G151" s="14"/>
      <c r="H151" s="14"/>
      <c r="I151" s="14"/>
      <c r="J151" s="14"/>
      <c r="K151" s="14"/>
      <c r="L151" s="14"/>
      <c r="M151" s="15"/>
      <c r="N151" s="12"/>
    </row>
    <row r="152" spans="1:14" ht="13" x14ac:dyDescent="0.15">
      <c r="A152" s="15"/>
      <c r="D152" s="10"/>
      <c r="E152" s="10"/>
      <c r="F152" s="14"/>
      <c r="G152" s="14"/>
      <c r="H152" s="14"/>
      <c r="I152" s="14"/>
      <c r="J152" s="14"/>
      <c r="K152" s="14"/>
      <c r="L152" s="14"/>
      <c r="M152" s="15"/>
      <c r="N152" s="12"/>
    </row>
    <row r="153" spans="1:14" ht="13" x14ac:dyDescent="0.15">
      <c r="A153" s="15"/>
      <c r="D153" s="10"/>
      <c r="E153" s="10"/>
      <c r="F153" s="14"/>
      <c r="G153" s="14"/>
      <c r="H153" s="14"/>
      <c r="I153" s="14"/>
      <c r="J153" s="14"/>
      <c r="K153" s="14"/>
      <c r="L153" s="14"/>
      <c r="M153" s="15"/>
      <c r="N153" s="12"/>
    </row>
    <row r="154" spans="1:14" ht="13" x14ac:dyDescent="0.15">
      <c r="A154" s="15"/>
      <c r="D154" s="10"/>
      <c r="E154" s="10"/>
      <c r="F154" s="14"/>
      <c r="G154" s="14"/>
      <c r="H154" s="14"/>
      <c r="I154" s="14"/>
      <c r="J154" s="14"/>
      <c r="K154" s="14"/>
      <c r="L154" s="14"/>
      <c r="M154" s="15"/>
      <c r="N154" s="12"/>
    </row>
    <row r="155" spans="1:14" ht="13" x14ac:dyDescent="0.15">
      <c r="A155" s="15"/>
      <c r="D155" s="10"/>
      <c r="E155" s="10"/>
      <c r="F155" s="14"/>
      <c r="G155" s="14"/>
      <c r="H155" s="14"/>
      <c r="I155" s="14"/>
      <c r="J155" s="14"/>
      <c r="K155" s="14"/>
      <c r="L155" s="14"/>
      <c r="M155" s="15"/>
      <c r="N155" s="12"/>
    </row>
    <row r="156" spans="1:14" ht="13" x14ac:dyDescent="0.15">
      <c r="A156" s="15"/>
      <c r="D156" s="10"/>
      <c r="E156" s="10"/>
      <c r="F156" s="14"/>
      <c r="G156" s="14"/>
      <c r="H156" s="14"/>
      <c r="I156" s="14"/>
      <c r="J156" s="14"/>
      <c r="K156" s="14"/>
      <c r="L156" s="14"/>
      <c r="M156" s="15"/>
      <c r="N156" s="12"/>
    </row>
    <row r="157" spans="1:14" ht="13" x14ac:dyDescent="0.15">
      <c r="A157" s="15"/>
      <c r="D157" s="10"/>
      <c r="E157" s="10"/>
      <c r="F157" s="14"/>
      <c r="G157" s="14"/>
      <c r="H157" s="14"/>
      <c r="I157" s="14"/>
      <c r="J157" s="14"/>
      <c r="K157" s="14"/>
      <c r="L157" s="14"/>
      <c r="M157" s="15"/>
      <c r="N157" s="12"/>
    </row>
    <row r="158" spans="1:14" ht="13" x14ac:dyDescent="0.15">
      <c r="A158" s="15"/>
      <c r="D158" s="10"/>
      <c r="E158" s="10"/>
      <c r="F158" s="14"/>
      <c r="G158" s="14"/>
      <c r="H158" s="14"/>
      <c r="I158" s="14"/>
      <c r="J158" s="14"/>
      <c r="K158" s="14"/>
      <c r="L158" s="14"/>
      <c r="M158" s="15"/>
      <c r="N158" s="12"/>
    </row>
    <row r="159" spans="1:14" ht="13" x14ac:dyDescent="0.15">
      <c r="A159" s="15"/>
      <c r="D159" s="10"/>
      <c r="E159" s="10"/>
      <c r="F159" s="14"/>
      <c r="G159" s="14"/>
      <c r="H159" s="14"/>
      <c r="I159" s="14"/>
      <c r="J159" s="14"/>
      <c r="K159" s="14"/>
      <c r="L159" s="14"/>
      <c r="M159" s="15"/>
      <c r="N159" s="12"/>
    </row>
    <row r="160" spans="1:14" ht="13" x14ac:dyDescent="0.15">
      <c r="A160" s="15"/>
      <c r="D160" s="10"/>
      <c r="E160" s="10"/>
      <c r="F160" s="14"/>
      <c r="G160" s="14"/>
      <c r="H160" s="14"/>
      <c r="I160" s="14"/>
      <c r="J160" s="14"/>
      <c r="K160" s="14"/>
      <c r="L160" s="14"/>
      <c r="M160" s="15"/>
      <c r="N160" s="12"/>
    </row>
    <row r="161" spans="1:14" ht="13" x14ac:dyDescent="0.15">
      <c r="A161" s="15"/>
      <c r="D161" s="10"/>
      <c r="E161" s="10"/>
      <c r="F161" s="14"/>
      <c r="G161" s="14"/>
      <c r="H161" s="14"/>
      <c r="I161" s="14"/>
      <c r="J161" s="14"/>
      <c r="K161" s="14"/>
      <c r="L161" s="14"/>
      <c r="M161" s="15"/>
      <c r="N161" s="12"/>
    </row>
    <row r="162" spans="1:14" ht="13" x14ac:dyDescent="0.15">
      <c r="A162" s="15"/>
      <c r="D162" s="10"/>
      <c r="E162" s="10"/>
      <c r="F162" s="14"/>
      <c r="G162" s="14"/>
      <c r="H162" s="14"/>
      <c r="I162" s="14"/>
      <c r="J162" s="14"/>
      <c r="K162" s="14"/>
      <c r="L162" s="14"/>
      <c r="M162" s="15"/>
      <c r="N162" s="12"/>
    </row>
    <row r="163" spans="1:14" ht="13" x14ac:dyDescent="0.15">
      <c r="A163" s="15"/>
      <c r="D163" s="10"/>
      <c r="E163" s="10"/>
      <c r="F163" s="14"/>
      <c r="G163" s="14"/>
      <c r="H163" s="14"/>
      <c r="I163" s="14"/>
      <c r="J163" s="14"/>
      <c r="K163" s="14"/>
      <c r="L163" s="14"/>
      <c r="M163" s="15"/>
      <c r="N163" s="12"/>
    </row>
    <row r="164" spans="1:14" ht="13" x14ac:dyDescent="0.15">
      <c r="A164" s="15"/>
      <c r="D164" s="10"/>
      <c r="E164" s="10"/>
      <c r="F164" s="14"/>
      <c r="G164" s="14"/>
      <c r="H164" s="14"/>
      <c r="I164" s="14"/>
      <c r="J164" s="14"/>
      <c r="K164" s="14"/>
      <c r="L164" s="14"/>
      <c r="M164" s="15"/>
      <c r="N164" s="12"/>
    </row>
    <row r="165" spans="1:14" ht="13" x14ac:dyDescent="0.15">
      <c r="A165" s="15"/>
      <c r="D165" s="10"/>
      <c r="E165" s="10"/>
      <c r="F165" s="14"/>
      <c r="G165" s="14"/>
      <c r="H165" s="14"/>
      <c r="I165" s="14"/>
      <c r="J165" s="14"/>
      <c r="K165" s="14"/>
      <c r="L165" s="14"/>
      <c r="M165" s="15"/>
      <c r="N165" s="12"/>
    </row>
    <row r="166" spans="1:14" ht="13" x14ac:dyDescent="0.15">
      <c r="A166" s="15"/>
      <c r="D166" s="10"/>
      <c r="E166" s="10"/>
      <c r="F166" s="14"/>
      <c r="G166" s="14"/>
      <c r="H166" s="14"/>
      <c r="I166" s="14"/>
      <c r="J166" s="14"/>
      <c r="K166" s="14"/>
      <c r="L166" s="14"/>
      <c r="M166" s="15"/>
      <c r="N166" s="12"/>
    </row>
    <row r="167" spans="1:14" ht="13" x14ac:dyDescent="0.15">
      <c r="A167" s="15"/>
      <c r="D167" s="10"/>
      <c r="E167" s="10"/>
      <c r="F167" s="14"/>
      <c r="G167" s="14"/>
      <c r="H167" s="14"/>
      <c r="I167" s="14"/>
      <c r="J167" s="14"/>
      <c r="K167" s="14"/>
      <c r="L167" s="14"/>
      <c r="M167" s="15"/>
      <c r="N167" s="12"/>
    </row>
    <row r="168" spans="1:14" ht="13" x14ac:dyDescent="0.15">
      <c r="A168" s="15"/>
      <c r="D168" s="10"/>
      <c r="E168" s="10"/>
      <c r="F168" s="14"/>
      <c r="G168" s="14"/>
      <c r="H168" s="14"/>
      <c r="I168" s="14"/>
      <c r="J168" s="14"/>
      <c r="K168" s="14"/>
      <c r="L168" s="14"/>
      <c r="M168" s="15"/>
      <c r="N168" s="12"/>
    </row>
    <row r="169" spans="1:14" ht="13" x14ac:dyDescent="0.15">
      <c r="A169" s="15"/>
      <c r="D169" s="10"/>
      <c r="E169" s="10"/>
      <c r="F169" s="14"/>
      <c r="G169" s="14"/>
      <c r="H169" s="14"/>
      <c r="I169" s="14"/>
      <c r="J169" s="14"/>
      <c r="K169" s="14"/>
      <c r="L169" s="14"/>
      <c r="M169" s="15"/>
      <c r="N169" s="12"/>
    </row>
    <row r="170" spans="1:14" ht="13" x14ac:dyDescent="0.15">
      <c r="A170" s="15"/>
      <c r="D170" s="10"/>
      <c r="E170" s="10"/>
      <c r="F170" s="14"/>
      <c r="G170" s="14"/>
      <c r="H170" s="14"/>
      <c r="I170" s="14"/>
      <c r="J170" s="14"/>
      <c r="K170" s="14"/>
      <c r="L170" s="14"/>
      <c r="M170" s="15"/>
      <c r="N170" s="12"/>
    </row>
    <row r="171" spans="1:14" ht="13" x14ac:dyDescent="0.15">
      <c r="A171" s="15"/>
      <c r="D171" s="10"/>
      <c r="E171" s="10"/>
      <c r="F171" s="14"/>
      <c r="G171" s="14"/>
      <c r="H171" s="14"/>
      <c r="I171" s="14"/>
      <c r="J171" s="14"/>
      <c r="K171" s="14"/>
      <c r="L171" s="14"/>
      <c r="M171" s="15"/>
      <c r="N171" s="12"/>
    </row>
    <row r="172" spans="1:14" ht="13" x14ac:dyDescent="0.15">
      <c r="A172" s="15"/>
      <c r="D172" s="10"/>
      <c r="E172" s="10"/>
      <c r="F172" s="14"/>
      <c r="G172" s="14"/>
      <c r="H172" s="14"/>
      <c r="I172" s="14"/>
      <c r="J172" s="14"/>
      <c r="K172" s="14"/>
      <c r="L172" s="14"/>
      <c r="M172" s="15"/>
      <c r="N172" s="12"/>
    </row>
    <row r="173" spans="1:14" ht="13" x14ac:dyDescent="0.15">
      <c r="A173" s="15"/>
      <c r="D173" s="10"/>
      <c r="E173" s="10"/>
      <c r="F173" s="14"/>
      <c r="G173" s="14"/>
      <c r="H173" s="14"/>
      <c r="I173" s="14"/>
      <c r="J173" s="14"/>
      <c r="K173" s="14"/>
      <c r="L173" s="14"/>
      <c r="M173" s="15"/>
      <c r="N173" s="12"/>
    </row>
    <row r="174" spans="1:14" ht="13" x14ac:dyDescent="0.15">
      <c r="A174" s="15"/>
      <c r="D174" s="10"/>
      <c r="E174" s="10"/>
      <c r="F174" s="14"/>
      <c r="G174" s="14"/>
      <c r="H174" s="14"/>
      <c r="I174" s="14"/>
      <c r="J174" s="14"/>
      <c r="K174" s="14"/>
      <c r="L174" s="14"/>
      <c r="M174" s="15"/>
      <c r="N174" s="12"/>
    </row>
    <row r="175" spans="1:14" ht="13" x14ac:dyDescent="0.15">
      <c r="A175" s="15"/>
      <c r="D175" s="10"/>
      <c r="E175" s="10"/>
      <c r="F175" s="14"/>
      <c r="G175" s="14"/>
      <c r="H175" s="14"/>
      <c r="I175" s="14"/>
      <c r="J175" s="14"/>
      <c r="K175" s="14"/>
      <c r="L175" s="14"/>
      <c r="M175" s="15"/>
      <c r="N175" s="12"/>
    </row>
    <row r="176" spans="1:14" ht="13" x14ac:dyDescent="0.15">
      <c r="A176" s="15"/>
      <c r="D176" s="10"/>
      <c r="E176" s="10"/>
      <c r="F176" s="14"/>
      <c r="G176" s="14"/>
      <c r="H176" s="14"/>
      <c r="I176" s="14"/>
      <c r="J176" s="14"/>
      <c r="K176" s="14"/>
      <c r="L176" s="14"/>
      <c r="M176" s="15"/>
      <c r="N176" s="12"/>
    </row>
    <row r="177" spans="1:14" ht="13" x14ac:dyDescent="0.15">
      <c r="A177" s="15"/>
      <c r="D177" s="10"/>
      <c r="E177" s="10"/>
      <c r="F177" s="14"/>
      <c r="G177" s="14"/>
      <c r="H177" s="14"/>
      <c r="I177" s="14"/>
      <c r="J177" s="14"/>
      <c r="K177" s="14"/>
      <c r="L177" s="14"/>
      <c r="M177" s="15"/>
      <c r="N177" s="12"/>
    </row>
    <row r="178" spans="1:14" ht="13" x14ac:dyDescent="0.15">
      <c r="A178" s="15"/>
      <c r="D178" s="10"/>
      <c r="E178" s="10"/>
      <c r="F178" s="14"/>
      <c r="G178" s="14"/>
      <c r="H178" s="14"/>
      <c r="I178" s="14"/>
      <c r="J178" s="14"/>
      <c r="K178" s="14"/>
      <c r="L178" s="14"/>
      <c r="M178" s="15"/>
      <c r="N178" s="12"/>
    </row>
    <row r="179" spans="1:14" ht="13" x14ac:dyDescent="0.15">
      <c r="A179" s="15"/>
      <c r="D179" s="10"/>
      <c r="E179" s="10"/>
      <c r="F179" s="14"/>
      <c r="G179" s="14"/>
      <c r="H179" s="14"/>
      <c r="I179" s="14"/>
      <c r="J179" s="14"/>
      <c r="K179" s="14"/>
      <c r="L179" s="14"/>
      <c r="M179" s="15"/>
      <c r="N179" s="12"/>
    </row>
    <row r="180" spans="1:14" ht="13" x14ac:dyDescent="0.15">
      <c r="A180" s="15"/>
      <c r="D180" s="10"/>
      <c r="E180" s="10"/>
      <c r="F180" s="14"/>
      <c r="G180" s="14"/>
      <c r="H180" s="14"/>
      <c r="I180" s="14"/>
      <c r="J180" s="14"/>
      <c r="K180" s="14"/>
      <c r="L180" s="14"/>
      <c r="M180" s="15"/>
      <c r="N180" s="12"/>
    </row>
    <row r="181" spans="1:14" ht="13" x14ac:dyDescent="0.15">
      <c r="A181" s="15"/>
      <c r="D181" s="10"/>
      <c r="E181" s="10"/>
      <c r="F181" s="14"/>
      <c r="G181" s="14"/>
      <c r="H181" s="14"/>
      <c r="I181" s="14"/>
      <c r="J181" s="14"/>
      <c r="K181" s="14"/>
      <c r="L181" s="14"/>
      <c r="M181" s="15"/>
      <c r="N181" s="12"/>
    </row>
    <row r="182" spans="1:14" ht="13" x14ac:dyDescent="0.15">
      <c r="A182" s="15"/>
      <c r="D182" s="10"/>
      <c r="E182" s="10"/>
      <c r="F182" s="14"/>
      <c r="G182" s="14"/>
      <c r="H182" s="14"/>
      <c r="I182" s="14"/>
      <c r="J182" s="14"/>
      <c r="K182" s="14"/>
      <c r="L182" s="14"/>
      <c r="M182" s="15"/>
      <c r="N182" s="12"/>
    </row>
    <row r="183" spans="1:14" ht="13" x14ac:dyDescent="0.15">
      <c r="A183" s="15"/>
      <c r="D183" s="10"/>
      <c r="E183" s="10"/>
      <c r="F183" s="14"/>
      <c r="G183" s="14"/>
      <c r="H183" s="14"/>
      <c r="I183" s="14"/>
      <c r="J183" s="14"/>
      <c r="K183" s="14"/>
      <c r="L183" s="14"/>
      <c r="M183" s="15"/>
      <c r="N183" s="12"/>
    </row>
    <row r="184" spans="1:14" ht="13" x14ac:dyDescent="0.15">
      <c r="A184" s="15"/>
      <c r="D184" s="10"/>
      <c r="E184" s="10"/>
      <c r="F184" s="14"/>
      <c r="G184" s="14"/>
      <c r="H184" s="14"/>
      <c r="I184" s="14"/>
      <c r="J184" s="14"/>
      <c r="K184" s="14"/>
      <c r="L184" s="14"/>
      <c r="M184" s="15"/>
      <c r="N184" s="12"/>
    </row>
    <row r="185" spans="1:14" ht="13" x14ac:dyDescent="0.15">
      <c r="A185" s="15"/>
      <c r="D185" s="10"/>
      <c r="E185" s="10"/>
      <c r="F185" s="14"/>
      <c r="G185" s="14"/>
      <c r="H185" s="14"/>
      <c r="I185" s="14"/>
      <c r="J185" s="14"/>
      <c r="K185" s="14"/>
      <c r="L185" s="14"/>
      <c r="M185" s="15"/>
      <c r="N185" s="12"/>
    </row>
    <row r="186" spans="1:14" ht="13" x14ac:dyDescent="0.15">
      <c r="A186" s="15"/>
      <c r="D186" s="10"/>
      <c r="E186" s="10"/>
      <c r="F186" s="14"/>
      <c r="G186" s="14"/>
      <c r="H186" s="14"/>
      <c r="I186" s="14"/>
      <c r="J186" s="14"/>
      <c r="K186" s="14"/>
      <c r="L186" s="14"/>
      <c r="M186" s="15"/>
      <c r="N186" s="12"/>
    </row>
    <row r="187" spans="1:14" ht="13" x14ac:dyDescent="0.15">
      <c r="A187" s="15"/>
      <c r="D187" s="10"/>
      <c r="E187" s="10"/>
      <c r="F187" s="14"/>
      <c r="G187" s="14"/>
      <c r="H187" s="14"/>
      <c r="I187" s="14"/>
      <c r="J187" s="14"/>
      <c r="K187" s="14"/>
      <c r="L187" s="14"/>
      <c r="M187" s="15"/>
      <c r="N187" s="12"/>
    </row>
    <row r="188" spans="1:14" ht="13" x14ac:dyDescent="0.15">
      <c r="A188" s="15"/>
      <c r="D188" s="10"/>
      <c r="E188" s="10"/>
      <c r="F188" s="14"/>
      <c r="G188" s="14"/>
      <c r="H188" s="14"/>
      <c r="I188" s="14"/>
      <c r="J188" s="14"/>
      <c r="K188" s="14"/>
      <c r="L188" s="14"/>
      <c r="M188" s="15"/>
      <c r="N188" s="12"/>
    </row>
    <row r="189" spans="1:14" ht="13" x14ac:dyDescent="0.15">
      <c r="A189" s="15"/>
      <c r="D189" s="10"/>
      <c r="E189" s="10"/>
      <c r="F189" s="14"/>
      <c r="G189" s="14"/>
      <c r="H189" s="14"/>
      <c r="I189" s="14"/>
      <c r="J189" s="14"/>
      <c r="K189" s="14"/>
      <c r="L189" s="14"/>
      <c r="M189" s="15"/>
      <c r="N189" s="12"/>
    </row>
    <row r="190" spans="1:14" ht="13" x14ac:dyDescent="0.15">
      <c r="A190" s="15"/>
      <c r="D190" s="10"/>
      <c r="E190" s="10"/>
      <c r="F190" s="14"/>
      <c r="G190" s="14"/>
      <c r="H190" s="14"/>
      <c r="I190" s="14"/>
      <c r="J190" s="14"/>
      <c r="K190" s="14"/>
      <c r="L190" s="14"/>
      <c r="M190" s="15"/>
      <c r="N190" s="12"/>
    </row>
    <row r="191" spans="1:14" ht="13" x14ac:dyDescent="0.15">
      <c r="A191" s="15"/>
      <c r="D191" s="10"/>
      <c r="E191" s="10"/>
      <c r="F191" s="14"/>
      <c r="G191" s="14"/>
      <c r="H191" s="14"/>
      <c r="I191" s="14"/>
      <c r="J191" s="14"/>
      <c r="K191" s="14"/>
      <c r="L191" s="14"/>
      <c r="M191" s="15"/>
      <c r="N191" s="12"/>
    </row>
    <row r="192" spans="1:14" ht="13" x14ac:dyDescent="0.15">
      <c r="A192" s="15"/>
      <c r="D192" s="10"/>
      <c r="E192" s="10"/>
      <c r="F192" s="14"/>
      <c r="G192" s="14"/>
      <c r="H192" s="14"/>
      <c r="I192" s="14"/>
      <c r="J192" s="14"/>
      <c r="K192" s="14"/>
      <c r="L192" s="14"/>
      <c r="M192" s="15"/>
      <c r="N192" s="12"/>
    </row>
    <row r="193" spans="1:14" ht="13" x14ac:dyDescent="0.15">
      <c r="A193" s="15"/>
      <c r="D193" s="10"/>
      <c r="E193" s="10"/>
      <c r="F193" s="14"/>
      <c r="G193" s="14"/>
      <c r="H193" s="14"/>
      <c r="I193" s="14"/>
      <c r="J193" s="14"/>
      <c r="K193" s="14"/>
      <c r="L193" s="14"/>
      <c r="M193" s="15"/>
      <c r="N193" s="12"/>
    </row>
    <row r="194" spans="1:14" ht="13" x14ac:dyDescent="0.15">
      <c r="A194" s="15"/>
      <c r="D194" s="10"/>
      <c r="E194" s="10"/>
      <c r="F194" s="14"/>
      <c r="G194" s="14"/>
      <c r="H194" s="14"/>
      <c r="I194" s="14"/>
      <c r="J194" s="14"/>
      <c r="K194" s="14"/>
      <c r="L194" s="14"/>
      <c r="M194" s="15"/>
      <c r="N194" s="12"/>
    </row>
    <row r="195" spans="1:14" ht="13" x14ac:dyDescent="0.15">
      <c r="A195" s="15"/>
      <c r="D195" s="10"/>
      <c r="E195" s="10"/>
      <c r="F195" s="14"/>
      <c r="G195" s="14"/>
      <c r="H195" s="14"/>
      <c r="I195" s="14"/>
      <c r="J195" s="14"/>
      <c r="K195" s="14"/>
      <c r="L195" s="14"/>
      <c r="M195" s="15"/>
      <c r="N195" s="12"/>
    </row>
    <row r="196" spans="1:14" ht="13" x14ac:dyDescent="0.15">
      <c r="A196" s="15"/>
      <c r="D196" s="10"/>
      <c r="E196" s="10"/>
      <c r="F196" s="14"/>
      <c r="G196" s="14"/>
      <c r="H196" s="14"/>
      <c r="I196" s="14"/>
      <c r="J196" s="14"/>
      <c r="K196" s="14"/>
      <c r="L196" s="14"/>
      <c r="M196" s="15"/>
      <c r="N196" s="12"/>
    </row>
    <row r="197" spans="1:14" ht="13" x14ac:dyDescent="0.15">
      <c r="A197" s="15"/>
      <c r="D197" s="10"/>
      <c r="E197" s="10"/>
      <c r="F197" s="14"/>
      <c r="G197" s="14"/>
      <c r="H197" s="14"/>
      <c r="I197" s="14"/>
      <c r="J197" s="14"/>
      <c r="K197" s="14"/>
      <c r="L197" s="14"/>
      <c r="M197" s="15"/>
      <c r="N197" s="12"/>
    </row>
    <row r="198" spans="1:14" ht="13" x14ac:dyDescent="0.15">
      <c r="A198" s="15"/>
      <c r="D198" s="10"/>
      <c r="E198" s="10"/>
      <c r="F198" s="14"/>
      <c r="G198" s="14"/>
      <c r="H198" s="14"/>
      <c r="I198" s="14"/>
      <c r="J198" s="14"/>
      <c r="K198" s="14"/>
      <c r="L198" s="14"/>
      <c r="M198" s="15"/>
      <c r="N198" s="12"/>
    </row>
    <row r="199" spans="1:14" ht="13" x14ac:dyDescent="0.15">
      <c r="A199" s="15"/>
      <c r="D199" s="10"/>
      <c r="E199" s="10"/>
      <c r="F199" s="14"/>
      <c r="G199" s="14"/>
      <c r="H199" s="14"/>
      <c r="I199" s="14"/>
      <c r="J199" s="14"/>
      <c r="K199" s="14"/>
      <c r="L199" s="14"/>
      <c r="M199" s="15"/>
      <c r="N199" s="12"/>
    </row>
    <row r="200" spans="1:14" ht="13" x14ac:dyDescent="0.15">
      <c r="A200" s="15"/>
      <c r="D200" s="10"/>
      <c r="E200" s="10"/>
      <c r="F200" s="14"/>
      <c r="G200" s="14"/>
      <c r="H200" s="14"/>
      <c r="I200" s="14"/>
      <c r="J200" s="14"/>
      <c r="K200" s="14"/>
      <c r="L200" s="14"/>
      <c r="M200" s="15"/>
      <c r="N200" s="12"/>
    </row>
    <row r="201" spans="1:14" ht="13" x14ac:dyDescent="0.15">
      <c r="A201" s="15"/>
      <c r="D201" s="10"/>
      <c r="E201" s="10"/>
      <c r="F201" s="14"/>
      <c r="G201" s="14"/>
      <c r="H201" s="14"/>
      <c r="I201" s="14"/>
      <c r="J201" s="14"/>
      <c r="K201" s="14"/>
      <c r="L201" s="14"/>
      <c r="M201" s="15"/>
      <c r="N201" s="12"/>
    </row>
    <row r="202" spans="1:14" ht="13" x14ac:dyDescent="0.15">
      <c r="A202" s="15"/>
      <c r="D202" s="10"/>
      <c r="E202" s="10"/>
      <c r="F202" s="14"/>
      <c r="G202" s="14"/>
      <c r="H202" s="14"/>
      <c r="I202" s="14"/>
      <c r="J202" s="14"/>
      <c r="K202" s="14"/>
      <c r="L202" s="14"/>
      <c r="M202" s="15"/>
      <c r="N202" s="12"/>
    </row>
    <row r="203" spans="1:14" ht="13" x14ac:dyDescent="0.15">
      <c r="A203" s="15"/>
      <c r="D203" s="10"/>
      <c r="E203" s="10"/>
      <c r="F203" s="14"/>
      <c r="G203" s="14"/>
      <c r="H203" s="14"/>
      <c r="I203" s="14"/>
      <c r="J203" s="14"/>
      <c r="K203" s="14"/>
      <c r="L203" s="14"/>
      <c r="M203" s="15"/>
      <c r="N203" s="12"/>
    </row>
    <row r="204" spans="1:14" ht="13" x14ac:dyDescent="0.15">
      <c r="A204" s="15"/>
      <c r="D204" s="10"/>
      <c r="E204" s="10"/>
      <c r="F204" s="14"/>
      <c r="G204" s="14"/>
      <c r="H204" s="14"/>
      <c r="I204" s="14"/>
      <c r="J204" s="14"/>
      <c r="K204" s="14"/>
      <c r="L204" s="14"/>
      <c r="M204" s="15"/>
      <c r="N204" s="12"/>
    </row>
    <row r="205" spans="1:14" ht="13" x14ac:dyDescent="0.15">
      <c r="A205" s="15"/>
      <c r="D205" s="10"/>
      <c r="E205" s="10"/>
      <c r="F205" s="14"/>
      <c r="G205" s="14"/>
      <c r="H205" s="14"/>
      <c r="I205" s="14"/>
      <c r="J205" s="14"/>
      <c r="K205" s="14"/>
      <c r="L205" s="14"/>
      <c r="M205" s="15"/>
      <c r="N205" s="12"/>
    </row>
    <row r="206" spans="1:14" ht="13" x14ac:dyDescent="0.15">
      <c r="A206" s="15"/>
      <c r="D206" s="10"/>
      <c r="E206" s="10"/>
      <c r="F206" s="14"/>
      <c r="G206" s="14"/>
      <c r="H206" s="14"/>
      <c r="I206" s="14"/>
      <c r="J206" s="14"/>
      <c r="K206" s="14"/>
      <c r="L206" s="14"/>
      <c r="M206" s="15"/>
      <c r="N206" s="12"/>
    </row>
    <row r="207" spans="1:14" ht="13" x14ac:dyDescent="0.15">
      <c r="A207" s="15"/>
      <c r="D207" s="10"/>
      <c r="E207" s="10"/>
      <c r="F207" s="14"/>
      <c r="G207" s="14"/>
      <c r="H207" s="14"/>
      <c r="I207" s="14"/>
      <c r="J207" s="14"/>
      <c r="K207" s="14"/>
      <c r="L207" s="14"/>
      <c r="M207" s="15"/>
      <c r="N207" s="12"/>
    </row>
    <row r="208" spans="1:14" ht="13" x14ac:dyDescent="0.15">
      <c r="A208" s="15"/>
      <c r="D208" s="10"/>
      <c r="E208" s="10"/>
      <c r="F208" s="14"/>
      <c r="G208" s="14"/>
      <c r="H208" s="14"/>
      <c r="I208" s="14"/>
      <c r="J208" s="14"/>
      <c r="K208" s="14"/>
      <c r="L208" s="14"/>
      <c r="M208" s="15"/>
      <c r="N208" s="12"/>
    </row>
    <row r="209" spans="1:14" ht="13" x14ac:dyDescent="0.15">
      <c r="A209" s="15"/>
      <c r="D209" s="10"/>
      <c r="E209" s="10"/>
      <c r="F209" s="14"/>
      <c r="G209" s="14"/>
      <c r="H209" s="14"/>
      <c r="I209" s="14"/>
      <c r="J209" s="14"/>
      <c r="K209" s="14"/>
      <c r="L209" s="14"/>
      <c r="M209" s="15"/>
      <c r="N209" s="12"/>
    </row>
    <row r="210" spans="1:14" ht="13" x14ac:dyDescent="0.15">
      <c r="A210" s="15"/>
      <c r="D210" s="10"/>
      <c r="E210" s="10"/>
      <c r="F210" s="14"/>
      <c r="G210" s="14"/>
      <c r="H210" s="14"/>
      <c r="I210" s="14"/>
      <c r="J210" s="14"/>
      <c r="K210" s="14"/>
      <c r="L210" s="14"/>
      <c r="M210" s="15"/>
      <c r="N210" s="12"/>
    </row>
    <row r="211" spans="1:14" ht="13" x14ac:dyDescent="0.15">
      <c r="A211" s="15"/>
      <c r="D211" s="10"/>
      <c r="E211" s="10"/>
      <c r="F211" s="14"/>
      <c r="G211" s="14"/>
      <c r="H211" s="14"/>
      <c r="I211" s="14"/>
      <c r="J211" s="14"/>
      <c r="K211" s="14"/>
      <c r="L211" s="14"/>
      <c r="M211" s="15"/>
      <c r="N211" s="12"/>
    </row>
    <row r="212" spans="1:14" ht="13" x14ac:dyDescent="0.15">
      <c r="A212" s="15"/>
      <c r="D212" s="10"/>
      <c r="E212" s="10"/>
      <c r="F212" s="14"/>
      <c r="G212" s="14"/>
      <c r="H212" s="14"/>
      <c r="I212" s="14"/>
      <c r="J212" s="14"/>
      <c r="K212" s="14"/>
      <c r="L212" s="14"/>
      <c r="M212" s="15"/>
      <c r="N212" s="12"/>
    </row>
    <row r="213" spans="1:14" ht="13" x14ac:dyDescent="0.15">
      <c r="A213" s="15"/>
      <c r="D213" s="10"/>
      <c r="E213" s="10"/>
      <c r="F213" s="14"/>
      <c r="G213" s="14"/>
      <c r="H213" s="14"/>
      <c r="I213" s="14"/>
      <c r="J213" s="14"/>
      <c r="K213" s="14"/>
      <c r="L213" s="14"/>
      <c r="M213" s="15"/>
      <c r="N213" s="12"/>
    </row>
    <row r="214" spans="1:14" ht="13" x14ac:dyDescent="0.15">
      <c r="A214" s="15"/>
      <c r="D214" s="10"/>
      <c r="E214" s="10"/>
      <c r="F214" s="14"/>
      <c r="G214" s="14"/>
      <c r="H214" s="14"/>
      <c r="I214" s="14"/>
      <c r="J214" s="14"/>
      <c r="K214" s="14"/>
      <c r="L214" s="14"/>
      <c r="M214" s="15"/>
      <c r="N214" s="12"/>
    </row>
    <row r="215" spans="1:14" ht="13" x14ac:dyDescent="0.15">
      <c r="A215" s="15"/>
      <c r="D215" s="10"/>
      <c r="E215" s="10"/>
      <c r="F215" s="14"/>
      <c r="G215" s="14"/>
      <c r="H215" s="14"/>
      <c r="I215" s="14"/>
      <c r="J215" s="14"/>
      <c r="K215" s="14"/>
      <c r="L215" s="14"/>
      <c r="M215" s="15"/>
      <c r="N215" s="12"/>
    </row>
    <row r="216" spans="1:14" ht="13" x14ac:dyDescent="0.15">
      <c r="A216" s="15"/>
      <c r="D216" s="10"/>
      <c r="E216" s="10"/>
      <c r="F216" s="14"/>
      <c r="G216" s="14"/>
      <c r="H216" s="14"/>
      <c r="I216" s="14"/>
      <c r="J216" s="14"/>
      <c r="K216" s="14"/>
      <c r="L216" s="14"/>
      <c r="M216" s="15"/>
      <c r="N216" s="12"/>
    </row>
    <row r="217" spans="1:14" ht="13" x14ac:dyDescent="0.15">
      <c r="A217" s="15"/>
      <c r="D217" s="10"/>
      <c r="E217" s="10"/>
      <c r="F217" s="14"/>
      <c r="G217" s="14"/>
      <c r="H217" s="14"/>
      <c r="I217" s="14"/>
      <c r="J217" s="14"/>
      <c r="K217" s="14"/>
      <c r="L217" s="14"/>
      <c r="M217" s="15"/>
      <c r="N217" s="12"/>
    </row>
    <row r="218" spans="1:14" ht="13" x14ac:dyDescent="0.15">
      <c r="A218" s="15"/>
      <c r="D218" s="10"/>
      <c r="E218" s="10"/>
      <c r="F218" s="14"/>
      <c r="G218" s="14"/>
      <c r="H218" s="14"/>
      <c r="I218" s="14"/>
      <c r="J218" s="14"/>
      <c r="K218" s="14"/>
      <c r="L218" s="14"/>
      <c r="M218" s="15"/>
      <c r="N218" s="12"/>
    </row>
    <row r="219" spans="1:14" ht="13" x14ac:dyDescent="0.15">
      <c r="A219" s="15"/>
      <c r="D219" s="10"/>
      <c r="E219" s="10"/>
      <c r="F219" s="14"/>
      <c r="G219" s="14"/>
      <c r="H219" s="14"/>
      <c r="I219" s="14"/>
      <c r="J219" s="14"/>
      <c r="K219" s="14"/>
      <c r="L219" s="14"/>
      <c r="M219" s="15"/>
      <c r="N219" s="12"/>
    </row>
    <row r="220" spans="1:14" ht="13" x14ac:dyDescent="0.15">
      <c r="A220" s="15"/>
      <c r="D220" s="10"/>
      <c r="E220" s="10"/>
      <c r="F220" s="14"/>
      <c r="G220" s="14"/>
      <c r="H220" s="14"/>
      <c r="I220" s="14"/>
      <c r="J220" s="14"/>
      <c r="K220" s="14"/>
      <c r="L220" s="14"/>
      <c r="M220" s="15"/>
      <c r="N220" s="12"/>
    </row>
    <row r="221" spans="1:14" ht="13" x14ac:dyDescent="0.15">
      <c r="A221" s="15"/>
      <c r="D221" s="10"/>
      <c r="E221" s="10"/>
      <c r="F221" s="14"/>
      <c r="G221" s="14"/>
      <c r="H221" s="14"/>
      <c r="I221" s="14"/>
      <c r="J221" s="14"/>
      <c r="K221" s="14"/>
      <c r="L221" s="14"/>
      <c r="M221" s="15"/>
      <c r="N221" s="12"/>
    </row>
    <row r="222" spans="1:14" ht="13" x14ac:dyDescent="0.15">
      <c r="A222" s="15"/>
      <c r="D222" s="10"/>
      <c r="E222" s="10"/>
      <c r="F222" s="14"/>
      <c r="G222" s="14"/>
      <c r="H222" s="14"/>
      <c r="I222" s="14"/>
      <c r="J222" s="14"/>
      <c r="K222" s="14"/>
      <c r="L222" s="14"/>
      <c r="M222" s="15"/>
      <c r="N222" s="12"/>
    </row>
    <row r="223" spans="1:14" ht="13" x14ac:dyDescent="0.15">
      <c r="A223" s="15"/>
      <c r="D223" s="10"/>
      <c r="E223" s="10"/>
      <c r="F223" s="14"/>
      <c r="G223" s="14"/>
      <c r="H223" s="14"/>
      <c r="I223" s="14"/>
      <c r="J223" s="14"/>
      <c r="K223" s="14"/>
      <c r="L223" s="14"/>
      <c r="M223" s="15"/>
      <c r="N223" s="12"/>
    </row>
    <row r="224" spans="1:14" ht="13" x14ac:dyDescent="0.15">
      <c r="A224" s="15"/>
      <c r="D224" s="10"/>
      <c r="E224" s="10"/>
      <c r="F224" s="14"/>
      <c r="G224" s="14"/>
      <c r="H224" s="14"/>
      <c r="I224" s="14"/>
      <c r="J224" s="14"/>
      <c r="K224" s="14"/>
      <c r="L224" s="14"/>
      <c r="M224" s="15"/>
      <c r="N224" s="12"/>
    </row>
    <row r="225" spans="1:14" ht="13" x14ac:dyDescent="0.15">
      <c r="A225" s="15"/>
      <c r="D225" s="10"/>
      <c r="E225" s="10"/>
      <c r="F225" s="14"/>
      <c r="G225" s="14"/>
      <c r="H225" s="14"/>
      <c r="I225" s="14"/>
      <c r="J225" s="14"/>
      <c r="K225" s="14"/>
      <c r="L225" s="14"/>
      <c r="M225" s="15"/>
      <c r="N225" s="12"/>
    </row>
    <row r="226" spans="1:14" ht="13" x14ac:dyDescent="0.15">
      <c r="A226" s="15"/>
      <c r="D226" s="10"/>
      <c r="E226" s="10"/>
      <c r="F226" s="14"/>
      <c r="G226" s="14"/>
      <c r="H226" s="14"/>
      <c r="I226" s="14"/>
      <c r="J226" s="14"/>
      <c r="K226" s="14"/>
      <c r="L226" s="14"/>
      <c r="M226" s="15"/>
      <c r="N226" s="12"/>
    </row>
    <row r="227" spans="1:14" ht="13" x14ac:dyDescent="0.15">
      <c r="A227" s="15"/>
      <c r="D227" s="10"/>
      <c r="E227" s="10"/>
      <c r="F227" s="14"/>
      <c r="G227" s="14"/>
      <c r="H227" s="14"/>
      <c r="I227" s="14"/>
      <c r="J227" s="14"/>
      <c r="K227" s="14"/>
      <c r="L227" s="14"/>
      <c r="M227" s="15"/>
      <c r="N227" s="12"/>
    </row>
    <row r="228" spans="1:14" ht="13" x14ac:dyDescent="0.15">
      <c r="A228" s="15"/>
      <c r="D228" s="10"/>
      <c r="E228" s="10"/>
      <c r="F228" s="14"/>
      <c r="G228" s="14"/>
      <c r="H228" s="14"/>
      <c r="I228" s="14"/>
      <c r="J228" s="14"/>
      <c r="K228" s="14"/>
      <c r="L228" s="14"/>
      <c r="M228" s="15"/>
      <c r="N228" s="12"/>
    </row>
    <row r="229" spans="1:14" ht="13" x14ac:dyDescent="0.15">
      <c r="A229" s="15"/>
      <c r="D229" s="10"/>
      <c r="E229" s="10"/>
      <c r="F229" s="14"/>
      <c r="G229" s="14"/>
      <c r="H229" s="14"/>
      <c r="I229" s="14"/>
      <c r="J229" s="14"/>
      <c r="K229" s="14"/>
      <c r="L229" s="14"/>
      <c r="M229" s="15"/>
      <c r="N229" s="12"/>
    </row>
    <row r="230" spans="1:14" ht="13" x14ac:dyDescent="0.15">
      <c r="A230" s="15"/>
      <c r="D230" s="10"/>
      <c r="E230" s="10"/>
      <c r="F230" s="14"/>
      <c r="G230" s="14"/>
      <c r="H230" s="14"/>
      <c r="I230" s="14"/>
      <c r="J230" s="14"/>
      <c r="K230" s="14"/>
      <c r="L230" s="14"/>
      <c r="M230" s="15"/>
      <c r="N230" s="12"/>
    </row>
    <row r="231" spans="1:14" ht="13" x14ac:dyDescent="0.15">
      <c r="A231" s="15"/>
      <c r="D231" s="10"/>
      <c r="E231" s="10"/>
      <c r="F231" s="14"/>
      <c r="G231" s="14"/>
      <c r="H231" s="14"/>
      <c r="I231" s="14"/>
      <c r="J231" s="14"/>
      <c r="K231" s="14"/>
      <c r="L231" s="14"/>
      <c r="M231" s="15"/>
      <c r="N231" s="12"/>
    </row>
    <row r="232" spans="1:14" ht="13" x14ac:dyDescent="0.15">
      <c r="A232" s="15"/>
      <c r="D232" s="10"/>
      <c r="E232" s="10"/>
      <c r="F232" s="14"/>
      <c r="G232" s="14"/>
      <c r="H232" s="14"/>
      <c r="I232" s="14"/>
      <c r="J232" s="14"/>
      <c r="K232" s="14"/>
      <c r="L232" s="14"/>
      <c r="M232" s="15"/>
      <c r="N232" s="12"/>
    </row>
    <row r="233" spans="1:14" ht="13" x14ac:dyDescent="0.15">
      <c r="A233" s="15"/>
      <c r="D233" s="10"/>
      <c r="E233" s="10"/>
      <c r="F233" s="14"/>
      <c r="G233" s="14"/>
      <c r="H233" s="14"/>
      <c r="I233" s="14"/>
      <c r="J233" s="14"/>
      <c r="K233" s="14"/>
      <c r="L233" s="14"/>
      <c r="M233" s="15"/>
      <c r="N233" s="12"/>
    </row>
    <row r="234" spans="1:14" ht="13" x14ac:dyDescent="0.15">
      <c r="A234" s="15"/>
      <c r="D234" s="10"/>
      <c r="E234" s="10"/>
      <c r="F234" s="14"/>
      <c r="G234" s="14"/>
      <c r="H234" s="14"/>
      <c r="I234" s="14"/>
      <c r="J234" s="14"/>
      <c r="K234" s="14"/>
      <c r="L234" s="14"/>
      <c r="M234" s="15"/>
      <c r="N234" s="12"/>
    </row>
    <row r="235" spans="1:14" ht="13" x14ac:dyDescent="0.15">
      <c r="A235" s="15"/>
      <c r="D235" s="10"/>
      <c r="E235" s="10"/>
      <c r="F235" s="14"/>
      <c r="G235" s="14"/>
      <c r="H235" s="14"/>
      <c r="I235" s="14"/>
      <c r="J235" s="14"/>
      <c r="K235" s="14"/>
      <c r="L235" s="14"/>
      <c r="M235" s="15"/>
      <c r="N235" s="12"/>
    </row>
    <row r="236" spans="1:14" ht="13" x14ac:dyDescent="0.15">
      <c r="A236" s="15"/>
      <c r="D236" s="10"/>
      <c r="E236" s="10"/>
      <c r="F236" s="14"/>
      <c r="G236" s="14"/>
      <c r="H236" s="14"/>
      <c r="I236" s="14"/>
      <c r="J236" s="14"/>
      <c r="K236" s="14"/>
      <c r="L236" s="14"/>
      <c r="M236" s="15"/>
      <c r="N236" s="12"/>
    </row>
    <row r="237" spans="1:14" ht="13" x14ac:dyDescent="0.15">
      <c r="A237" s="15"/>
      <c r="D237" s="10"/>
      <c r="E237" s="10"/>
      <c r="F237" s="14"/>
      <c r="G237" s="14"/>
      <c r="H237" s="14"/>
      <c r="I237" s="14"/>
      <c r="J237" s="14"/>
      <c r="K237" s="14"/>
      <c r="L237" s="14"/>
      <c r="M237" s="15"/>
      <c r="N237" s="12"/>
    </row>
    <row r="238" spans="1:14" ht="13" x14ac:dyDescent="0.15">
      <c r="A238" s="15"/>
      <c r="D238" s="10"/>
      <c r="E238" s="10"/>
      <c r="F238" s="14"/>
      <c r="G238" s="14"/>
      <c r="H238" s="14"/>
      <c r="I238" s="14"/>
      <c r="J238" s="14"/>
      <c r="K238" s="14"/>
      <c r="L238" s="14"/>
      <c r="M238" s="15"/>
      <c r="N238" s="12"/>
    </row>
    <row r="239" spans="1:14" ht="13" x14ac:dyDescent="0.15">
      <c r="A239" s="15"/>
      <c r="D239" s="10"/>
      <c r="E239" s="10"/>
      <c r="F239" s="14"/>
      <c r="G239" s="14"/>
      <c r="H239" s="14"/>
      <c r="I239" s="14"/>
      <c r="J239" s="14"/>
      <c r="K239" s="14"/>
      <c r="L239" s="14"/>
      <c r="M239" s="15"/>
      <c r="N239" s="12"/>
    </row>
    <row r="240" spans="1:14" ht="13" x14ac:dyDescent="0.15">
      <c r="A240" s="15"/>
      <c r="D240" s="10"/>
      <c r="E240" s="10"/>
      <c r="F240" s="14"/>
      <c r="G240" s="14"/>
      <c r="H240" s="14"/>
      <c r="I240" s="14"/>
      <c r="J240" s="14"/>
      <c r="K240" s="14"/>
      <c r="L240" s="14"/>
      <c r="M240" s="15"/>
      <c r="N240" s="12"/>
    </row>
    <row r="241" spans="1:14" ht="13" x14ac:dyDescent="0.15">
      <c r="A241" s="15"/>
      <c r="D241" s="10"/>
      <c r="E241" s="10"/>
      <c r="F241" s="14"/>
      <c r="G241" s="14"/>
      <c r="H241" s="14"/>
      <c r="I241" s="14"/>
      <c r="J241" s="14"/>
      <c r="K241" s="14"/>
      <c r="L241" s="14"/>
      <c r="M241" s="15"/>
      <c r="N241" s="12"/>
    </row>
    <row r="242" spans="1:14" ht="13" x14ac:dyDescent="0.15">
      <c r="A242" s="15"/>
      <c r="D242" s="10"/>
      <c r="E242" s="10"/>
      <c r="F242" s="14"/>
      <c r="G242" s="14"/>
      <c r="H242" s="14"/>
      <c r="I242" s="14"/>
      <c r="J242" s="14"/>
      <c r="K242" s="14"/>
      <c r="L242" s="14"/>
      <c r="M242" s="15"/>
      <c r="N242" s="12"/>
    </row>
    <row r="243" spans="1:14" ht="13" x14ac:dyDescent="0.15">
      <c r="A243" s="15"/>
      <c r="D243" s="10"/>
      <c r="E243" s="10"/>
      <c r="F243" s="14"/>
      <c r="G243" s="14"/>
      <c r="H243" s="14"/>
      <c r="I243" s="14"/>
      <c r="J243" s="14"/>
      <c r="K243" s="14"/>
      <c r="L243" s="14"/>
      <c r="M243" s="15"/>
      <c r="N243" s="12"/>
    </row>
    <row r="244" spans="1:14" ht="13" x14ac:dyDescent="0.15">
      <c r="A244" s="15"/>
      <c r="D244" s="10"/>
      <c r="E244" s="10"/>
      <c r="F244" s="14"/>
      <c r="G244" s="14"/>
      <c r="H244" s="14"/>
      <c r="I244" s="14"/>
      <c r="J244" s="14"/>
      <c r="K244" s="14"/>
      <c r="L244" s="14"/>
      <c r="M244" s="15"/>
      <c r="N244" s="12"/>
    </row>
    <row r="245" spans="1:14" ht="13" x14ac:dyDescent="0.15">
      <c r="A245" s="15"/>
      <c r="D245" s="10"/>
      <c r="E245" s="10"/>
      <c r="F245" s="14"/>
      <c r="G245" s="14"/>
      <c r="H245" s="14"/>
      <c r="I245" s="14"/>
      <c r="J245" s="14"/>
      <c r="K245" s="14"/>
      <c r="L245" s="14"/>
      <c r="M245" s="15"/>
      <c r="N245" s="12"/>
    </row>
    <row r="246" spans="1:14" ht="13" x14ac:dyDescent="0.15">
      <c r="A246" s="15"/>
      <c r="D246" s="10"/>
      <c r="E246" s="10"/>
      <c r="F246" s="14"/>
      <c r="G246" s="14"/>
      <c r="H246" s="14"/>
      <c r="I246" s="14"/>
      <c r="J246" s="14"/>
      <c r="K246" s="14"/>
      <c r="L246" s="14"/>
      <c r="M246" s="15"/>
      <c r="N246" s="12"/>
    </row>
    <row r="247" spans="1:14" ht="13" x14ac:dyDescent="0.15">
      <c r="A247" s="15"/>
      <c r="D247" s="10"/>
      <c r="E247" s="10"/>
      <c r="F247" s="14"/>
      <c r="G247" s="14"/>
      <c r="H247" s="14"/>
      <c r="I247" s="14"/>
      <c r="J247" s="14"/>
      <c r="K247" s="14"/>
      <c r="L247" s="14"/>
      <c r="M247" s="15"/>
      <c r="N247" s="12"/>
    </row>
    <row r="248" spans="1:14" ht="13" x14ac:dyDescent="0.15">
      <c r="A248" s="15"/>
      <c r="D248" s="10"/>
      <c r="E248" s="10"/>
      <c r="F248" s="14"/>
      <c r="G248" s="14"/>
      <c r="H248" s="14"/>
      <c r="I248" s="14"/>
      <c r="J248" s="14"/>
      <c r="K248" s="14"/>
      <c r="L248" s="14"/>
      <c r="M248" s="15"/>
      <c r="N248" s="12"/>
    </row>
    <row r="249" spans="1:14" ht="13" x14ac:dyDescent="0.15">
      <c r="A249" s="15"/>
      <c r="D249" s="10"/>
      <c r="E249" s="10"/>
      <c r="F249" s="14"/>
      <c r="G249" s="14"/>
      <c r="H249" s="14"/>
      <c r="I249" s="14"/>
      <c r="J249" s="14"/>
      <c r="K249" s="14"/>
      <c r="L249" s="14"/>
      <c r="M249" s="15"/>
      <c r="N249" s="12"/>
    </row>
    <row r="250" spans="1:14" ht="13" x14ac:dyDescent="0.15">
      <c r="A250" s="15"/>
      <c r="D250" s="10"/>
      <c r="E250" s="10"/>
      <c r="F250" s="14"/>
      <c r="G250" s="14"/>
      <c r="H250" s="14"/>
      <c r="I250" s="14"/>
      <c r="J250" s="14"/>
      <c r="K250" s="14"/>
      <c r="L250" s="14"/>
      <c r="M250" s="15"/>
      <c r="N250" s="12"/>
    </row>
    <row r="251" spans="1:14" ht="13" x14ac:dyDescent="0.15">
      <c r="A251" s="15"/>
      <c r="D251" s="10"/>
      <c r="E251" s="10"/>
      <c r="F251" s="14"/>
      <c r="G251" s="14"/>
      <c r="H251" s="14"/>
      <c r="I251" s="14"/>
      <c r="J251" s="14"/>
      <c r="K251" s="14"/>
      <c r="L251" s="14"/>
      <c r="M251" s="15"/>
      <c r="N251" s="12"/>
    </row>
    <row r="252" spans="1:14" ht="13" x14ac:dyDescent="0.15">
      <c r="A252" s="15"/>
      <c r="D252" s="10"/>
      <c r="E252" s="10"/>
      <c r="F252" s="14"/>
      <c r="G252" s="14"/>
      <c r="H252" s="14"/>
      <c r="I252" s="14"/>
      <c r="J252" s="14"/>
      <c r="K252" s="14"/>
      <c r="L252" s="14"/>
      <c r="M252" s="15"/>
      <c r="N252" s="12"/>
    </row>
    <row r="253" spans="1:14" ht="13" x14ac:dyDescent="0.15">
      <c r="A253" s="15"/>
      <c r="D253" s="10"/>
      <c r="E253" s="10"/>
      <c r="F253" s="14"/>
      <c r="G253" s="14"/>
      <c r="H253" s="14"/>
      <c r="I253" s="14"/>
      <c r="J253" s="14"/>
      <c r="K253" s="14"/>
      <c r="L253" s="14"/>
      <c r="M253" s="15"/>
      <c r="N253" s="12"/>
    </row>
    <row r="254" spans="1:14" ht="13" x14ac:dyDescent="0.15">
      <c r="A254" s="15"/>
      <c r="D254" s="10"/>
      <c r="E254" s="10"/>
      <c r="F254" s="14"/>
      <c r="G254" s="14"/>
      <c r="H254" s="14"/>
      <c r="I254" s="14"/>
      <c r="J254" s="14"/>
      <c r="K254" s="14"/>
      <c r="L254" s="14"/>
      <c r="M254" s="15"/>
      <c r="N254" s="12"/>
    </row>
    <row r="255" spans="1:14" ht="13" x14ac:dyDescent="0.15">
      <c r="A255" s="15"/>
      <c r="D255" s="10"/>
      <c r="E255" s="10"/>
      <c r="F255" s="14"/>
      <c r="G255" s="14"/>
      <c r="H255" s="14"/>
      <c r="I255" s="14"/>
      <c r="J255" s="14"/>
      <c r="K255" s="14"/>
      <c r="L255" s="14"/>
      <c r="M255" s="15"/>
      <c r="N255" s="12"/>
    </row>
    <row r="256" spans="1:14" ht="13" x14ac:dyDescent="0.15">
      <c r="A256" s="15"/>
      <c r="D256" s="10"/>
      <c r="E256" s="10"/>
      <c r="F256" s="14"/>
      <c r="G256" s="14"/>
      <c r="H256" s="14"/>
      <c r="I256" s="14"/>
      <c r="J256" s="14"/>
      <c r="K256" s="14"/>
      <c r="L256" s="14"/>
      <c r="M256" s="15"/>
      <c r="N256" s="12"/>
    </row>
    <row r="257" spans="1:14" ht="13" x14ac:dyDescent="0.15">
      <c r="A257" s="15"/>
      <c r="D257" s="10"/>
      <c r="E257" s="10"/>
      <c r="F257" s="14"/>
      <c r="G257" s="14"/>
      <c r="H257" s="14"/>
      <c r="I257" s="14"/>
      <c r="J257" s="14"/>
      <c r="K257" s="14"/>
      <c r="L257" s="14"/>
      <c r="M257" s="15"/>
      <c r="N257" s="12"/>
    </row>
    <row r="258" spans="1:14" ht="13" x14ac:dyDescent="0.15">
      <c r="A258" s="15"/>
      <c r="D258" s="10"/>
      <c r="E258" s="10"/>
      <c r="F258" s="14"/>
      <c r="G258" s="14"/>
      <c r="H258" s="14"/>
      <c r="I258" s="14"/>
      <c r="J258" s="14"/>
      <c r="K258" s="14"/>
      <c r="L258" s="14"/>
      <c r="M258" s="15"/>
      <c r="N258" s="12"/>
    </row>
    <row r="259" spans="1:14" ht="13" x14ac:dyDescent="0.15">
      <c r="A259" s="15"/>
      <c r="D259" s="10"/>
      <c r="E259" s="10"/>
      <c r="F259" s="14"/>
      <c r="G259" s="14"/>
      <c r="H259" s="14"/>
      <c r="I259" s="14"/>
      <c r="J259" s="14"/>
      <c r="K259" s="14"/>
      <c r="L259" s="14"/>
      <c r="M259" s="15"/>
      <c r="N259" s="12"/>
    </row>
    <row r="260" spans="1:14" ht="13" x14ac:dyDescent="0.15">
      <c r="A260" s="15"/>
      <c r="D260" s="10"/>
      <c r="E260" s="10"/>
      <c r="F260" s="14"/>
      <c r="G260" s="14"/>
      <c r="H260" s="14"/>
      <c r="I260" s="14"/>
      <c r="J260" s="14"/>
      <c r="K260" s="14"/>
      <c r="L260" s="14"/>
      <c r="M260" s="15"/>
      <c r="N260" s="12"/>
    </row>
    <row r="261" spans="1:14" ht="13" x14ac:dyDescent="0.15">
      <c r="A261" s="15"/>
      <c r="D261" s="10"/>
      <c r="E261" s="10"/>
      <c r="F261" s="14"/>
      <c r="G261" s="14"/>
      <c r="H261" s="14"/>
      <c r="I261" s="14"/>
      <c r="J261" s="14"/>
      <c r="K261" s="14"/>
      <c r="L261" s="14"/>
      <c r="M261" s="15"/>
      <c r="N261" s="12"/>
    </row>
    <row r="262" spans="1:14" ht="13" x14ac:dyDescent="0.15">
      <c r="A262" s="15"/>
      <c r="D262" s="10"/>
      <c r="E262" s="10"/>
      <c r="F262" s="14"/>
      <c r="G262" s="14"/>
      <c r="H262" s="14"/>
      <c r="I262" s="14"/>
      <c r="J262" s="14"/>
      <c r="K262" s="14"/>
      <c r="L262" s="14"/>
      <c r="M262" s="15"/>
      <c r="N262" s="12"/>
    </row>
    <row r="263" spans="1:14" ht="13" x14ac:dyDescent="0.15">
      <c r="A263" s="15"/>
      <c r="D263" s="10"/>
      <c r="E263" s="10"/>
      <c r="F263" s="14"/>
      <c r="G263" s="14"/>
      <c r="H263" s="14"/>
      <c r="I263" s="14"/>
      <c r="J263" s="14"/>
      <c r="K263" s="14"/>
      <c r="L263" s="14"/>
      <c r="M263" s="15"/>
      <c r="N263" s="12"/>
    </row>
    <row r="264" spans="1:14" ht="13" x14ac:dyDescent="0.15">
      <c r="A264" s="15"/>
      <c r="D264" s="10"/>
      <c r="E264" s="10"/>
      <c r="F264" s="14"/>
      <c r="G264" s="14"/>
      <c r="H264" s="14"/>
      <c r="I264" s="14"/>
      <c r="J264" s="14"/>
      <c r="K264" s="14"/>
      <c r="L264" s="14"/>
      <c r="M264" s="15"/>
      <c r="N264" s="12"/>
    </row>
    <row r="265" spans="1:14" ht="13" x14ac:dyDescent="0.15">
      <c r="A265" s="15"/>
      <c r="D265" s="10"/>
      <c r="E265" s="10"/>
      <c r="F265" s="14"/>
      <c r="G265" s="14"/>
      <c r="H265" s="14"/>
      <c r="I265" s="14"/>
      <c r="J265" s="14"/>
      <c r="K265" s="14"/>
      <c r="L265" s="14"/>
      <c r="M265" s="15"/>
      <c r="N265" s="12"/>
    </row>
    <row r="266" spans="1:14" ht="13" x14ac:dyDescent="0.15">
      <c r="A266" s="15"/>
      <c r="D266" s="10"/>
      <c r="E266" s="10"/>
      <c r="F266" s="14"/>
      <c r="G266" s="14"/>
      <c r="H266" s="14"/>
      <c r="I266" s="14"/>
      <c r="J266" s="14"/>
      <c r="K266" s="14"/>
      <c r="L266" s="14"/>
      <c r="M266" s="15"/>
      <c r="N266" s="12"/>
    </row>
    <row r="267" spans="1:14" ht="13" x14ac:dyDescent="0.15">
      <c r="A267" s="15"/>
      <c r="D267" s="10"/>
      <c r="E267" s="10"/>
      <c r="F267" s="14"/>
      <c r="G267" s="14"/>
      <c r="H267" s="14"/>
      <c r="I267" s="14"/>
      <c r="J267" s="14"/>
      <c r="K267" s="14"/>
      <c r="L267" s="14"/>
      <c r="M267" s="15"/>
      <c r="N267" s="12"/>
    </row>
    <row r="268" spans="1:14" ht="13" x14ac:dyDescent="0.15">
      <c r="A268" s="15"/>
      <c r="D268" s="10"/>
      <c r="E268" s="10"/>
      <c r="F268" s="14"/>
      <c r="G268" s="14"/>
      <c r="H268" s="14"/>
      <c r="I268" s="14"/>
      <c r="J268" s="14"/>
      <c r="K268" s="14"/>
      <c r="L268" s="14"/>
      <c r="M268" s="15"/>
      <c r="N268" s="12"/>
    </row>
    <row r="269" spans="1:14" ht="13" x14ac:dyDescent="0.15">
      <c r="A269" s="15"/>
      <c r="D269" s="10"/>
      <c r="E269" s="10"/>
      <c r="F269" s="14"/>
      <c r="G269" s="14"/>
      <c r="H269" s="14"/>
      <c r="I269" s="14"/>
      <c r="J269" s="14"/>
      <c r="K269" s="14"/>
      <c r="L269" s="14"/>
      <c r="M269" s="15"/>
      <c r="N269" s="12"/>
    </row>
    <row r="270" spans="1:14" ht="13" x14ac:dyDescent="0.15">
      <c r="A270" s="15"/>
      <c r="D270" s="10"/>
      <c r="E270" s="10"/>
      <c r="F270" s="14"/>
      <c r="G270" s="14"/>
      <c r="H270" s="14"/>
      <c r="I270" s="14"/>
      <c r="J270" s="14"/>
      <c r="K270" s="14"/>
      <c r="L270" s="14"/>
      <c r="M270" s="15"/>
      <c r="N270" s="12"/>
    </row>
    <row r="271" spans="1:14" ht="13" x14ac:dyDescent="0.15">
      <c r="A271" s="15"/>
      <c r="D271" s="10"/>
      <c r="E271" s="10"/>
      <c r="F271" s="14"/>
      <c r="G271" s="14"/>
      <c r="H271" s="14"/>
      <c r="I271" s="14"/>
      <c r="J271" s="14"/>
      <c r="K271" s="14"/>
      <c r="L271" s="14"/>
      <c r="M271" s="15"/>
      <c r="N271" s="12"/>
    </row>
    <row r="272" spans="1:14" ht="13" x14ac:dyDescent="0.15">
      <c r="A272" s="15"/>
      <c r="D272" s="10"/>
      <c r="E272" s="10"/>
      <c r="F272" s="14"/>
      <c r="G272" s="14"/>
      <c r="H272" s="14"/>
      <c r="I272" s="14"/>
      <c r="J272" s="14"/>
      <c r="K272" s="14"/>
      <c r="L272" s="14"/>
      <c r="M272" s="15"/>
      <c r="N272" s="12"/>
    </row>
    <row r="273" spans="1:14" ht="13" x14ac:dyDescent="0.15">
      <c r="A273" s="15"/>
      <c r="D273" s="10"/>
      <c r="E273" s="10"/>
      <c r="F273" s="14"/>
      <c r="G273" s="14"/>
      <c r="H273" s="14"/>
      <c r="I273" s="14"/>
      <c r="J273" s="14"/>
      <c r="K273" s="14"/>
      <c r="L273" s="14"/>
      <c r="M273" s="15"/>
      <c r="N273" s="12"/>
    </row>
    <row r="274" spans="1:14" ht="13" x14ac:dyDescent="0.15">
      <c r="A274" s="15"/>
      <c r="D274" s="10"/>
      <c r="E274" s="10"/>
      <c r="F274" s="14"/>
      <c r="G274" s="14"/>
      <c r="H274" s="14"/>
      <c r="I274" s="14"/>
      <c r="J274" s="14"/>
      <c r="K274" s="14"/>
      <c r="L274" s="14"/>
      <c r="M274" s="15"/>
      <c r="N274" s="12"/>
    </row>
    <row r="275" spans="1:14" ht="13" x14ac:dyDescent="0.15">
      <c r="A275" s="15"/>
      <c r="D275" s="10"/>
      <c r="E275" s="10"/>
      <c r="F275" s="14"/>
      <c r="G275" s="14"/>
      <c r="H275" s="14"/>
      <c r="I275" s="14"/>
      <c r="J275" s="14"/>
      <c r="K275" s="14"/>
      <c r="L275" s="14"/>
      <c r="M275" s="15"/>
      <c r="N275" s="12"/>
    </row>
    <row r="276" spans="1:14" ht="13" x14ac:dyDescent="0.15">
      <c r="A276" s="15"/>
      <c r="D276" s="10"/>
      <c r="E276" s="10"/>
      <c r="F276" s="14"/>
      <c r="G276" s="14"/>
      <c r="H276" s="14"/>
      <c r="I276" s="14"/>
      <c r="J276" s="14"/>
      <c r="K276" s="14"/>
      <c r="L276" s="14"/>
      <c r="M276" s="15"/>
      <c r="N276" s="12"/>
    </row>
    <row r="277" spans="1:14" ht="13" x14ac:dyDescent="0.15">
      <c r="A277" s="15"/>
      <c r="D277" s="10"/>
      <c r="E277" s="10"/>
      <c r="F277" s="14"/>
      <c r="G277" s="14"/>
      <c r="H277" s="14"/>
      <c r="I277" s="14"/>
      <c r="J277" s="14"/>
      <c r="K277" s="14"/>
      <c r="L277" s="14"/>
      <c r="M277" s="15"/>
      <c r="N277" s="12"/>
    </row>
    <row r="278" spans="1:14" ht="13" x14ac:dyDescent="0.15">
      <c r="A278" s="15"/>
      <c r="D278" s="10"/>
      <c r="E278" s="10"/>
      <c r="F278" s="14"/>
      <c r="G278" s="14"/>
      <c r="H278" s="14"/>
      <c r="I278" s="14"/>
      <c r="J278" s="14"/>
      <c r="K278" s="14"/>
      <c r="L278" s="14"/>
      <c r="M278" s="15"/>
      <c r="N278" s="12"/>
    </row>
    <row r="279" spans="1:14" ht="13" x14ac:dyDescent="0.15">
      <c r="A279" s="15"/>
      <c r="D279" s="10"/>
      <c r="E279" s="10"/>
      <c r="F279" s="14"/>
      <c r="G279" s="14"/>
      <c r="H279" s="14"/>
      <c r="I279" s="14"/>
      <c r="J279" s="14"/>
      <c r="K279" s="14"/>
      <c r="L279" s="14"/>
      <c r="M279" s="15"/>
      <c r="N279" s="12"/>
    </row>
    <row r="280" spans="1:14" ht="13" x14ac:dyDescent="0.15">
      <c r="A280" s="15"/>
      <c r="D280" s="10"/>
      <c r="E280" s="10"/>
      <c r="F280" s="14"/>
      <c r="G280" s="14"/>
      <c r="H280" s="14"/>
      <c r="I280" s="14"/>
      <c r="J280" s="14"/>
      <c r="K280" s="14"/>
      <c r="L280" s="14"/>
      <c r="M280" s="15"/>
      <c r="N280" s="12"/>
    </row>
    <row r="281" spans="1:14" ht="13" x14ac:dyDescent="0.15">
      <c r="A281" s="15"/>
      <c r="D281" s="10"/>
      <c r="E281" s="10"/>
      <c r="F281" s="14"/>
      <c r="G281" s="14"/>
      <c r="H281" s="14"/>
      <c r="I281" s="14"/>
      <c r="J281" s="14"/>
      <c r="K281" s="14"/>
      <c r="L281" s="14"/>
      <c r="M281" s="15"/>
      <c r="N281" s="12"/>
    </row>
    <row r="282" spans="1:14" ht="13" x14ac:dyDescent="0.15">
      <c r="A282" s="15"/>
      <c r="D282" s="10"/>
      <c r="E282" s="10"/>
      <c r="F282" s="14"/>
      <c r="G282" s="14"/>
      <c r="H282" s="14"/>
      <c r="I282" s="14"/>
      <c r="J282" s="14"/>
      <c r="K282" s="14"/>
      <c r="L282" s="14"/>
      <c r="M282" s="15"/>
      <c r="N282" s="12"/>
    </row>
    <row r="283" spans="1:14" ht="13" x14ac:dyDescent="0.15">
      <c r="A283" s="15"/>
      <c r="D283" s="10"/>
      <c r="E283" s="10"/>
      <c r="F283" s="14"/>
      <c r="G283" s="14"/>
      <c r="H283" s="14"/>
      <c r="I283" s="14"/>
      <c r="J283" s="14"/>
      <c r="K283" s="14"/>
      <c r="L283" s="14"/>
      <c r="M283" s="15"/>
      <c r="N283" s="12"/>
    </row>
    <row r="284" spans="1:14" ht="13" x14ac:dyDescent="0.15">
      <c r="A284" s="15"/>
      <c r="D284" s="10"/>
      <c r="E284" s="10"/>
      <c r="F284" s="14"/>
      <c r="G284" s="14"/>
      <c r="H284" s="14"/>
      <c r="I284" s="14"/>
      <c r="J284" s="14"/>
      <c r="K284" s="14"/>
      <c r="L284" s="14"/>
      <c r="M284" s="15"/>
      <c r="N284" s="12"/>
    </row>
    <row r="285" spans="1:14" ht="13" x14ac:dyDescent="0.15">
      <c r="A285" s="15"/>
      <c r="D285" s="10"/>
      <c r="E285" s="10"/>
      <c r="F285" s="14"/>
      <c r="G285" s="14"/>
      <c r="H285" s="14"/>
      <c r="I285" s="14"/>
      <c r="J285" s="14"/>
      <c r="K285" s="14"/>
      <c r="L285" s="14"/>
      <c r="M285" s="15"/>
      <c r="N285" s="12"/>
    </row>
    <row r="286" spans="1:14" ht="13" x14ac:dyDescent="0.15">
      <c r="A286" s="15"/>
      <c r="D286" s="10"/>
      <c r="E286" s="10"/>
      <c r="F286" s="14"/>
      <c r="G286" s="14"/>
      <c r="H286" s="14"/>
      <c r="I286" s="14"/>
      <c r="J286" s="14"/>
      <c r="K286" s="14"/>
      <c r="L286" s="14"/>
      <c r="M286" s="15"/>
      <c r="N286" s="12"/>
    </row>
    <row r="287" spans="1:14" ht="13" x14ac:dyDescent="0.15">
      <c r="A287" s="15"/>
      <c r="D287" s="10"/>
      <c r="E287" s="10"/>
      <c r="F287" s="14"/>
      <c r="G287" s="14"/>
      <c r="H287" s="14"/>
      <c r="I287" s="14"/>
      <c r="J287" s="14"/>
      <c r="K287" s="14"/>
      <c r="L287" s="14"/>
      <c r="M287" s="15"/>
      <c r="N287" s="12"/>
    </row>
    <row r="288" spans="1:14" ht="13" x14ac:dyDescent="0.15">
      <c r="A288" s="15"/>
      <c r="D288" s="10"/>
      <c r="E288" s="10"/>
      <c r="F288" s="14"/>
      <c r="G288" s="14"/>
      <c r="H288" s="14"/>
      <c r="I288" s="14"/>
      <c r="J288" s="14"/>
      <c r="K288" s="14"/>
      <c r="L288" s="14"/>
      <c r="M288" s="15"/>
      <c r="N288" s="12"/>
    </row>
    <row r="289" spans="1:14" ht="13" x14ac:dyDescent="0.15">
      <c r="A289" s="15"/>
      <c r="D289" s="10"/>
      <c r="E289" s="10"/>
      <c r="F289" s="14"/>
      <c r="G289" s="14"/>
      <c r="H289" s="14"/>
      <c r="I289" s="14"/>
      <c r="J289" s="14"/>
      <c r="K289" s="14"/>
      <c r="L289" s="14"/>
      <c r="M289" s="15"/>
      <c r="N289" s="12"/>
    </row>
    <row r="290" spans="1:14" ht="13" x14ac:dyDescent="0.15">
      <c r="A290" s="15"/>
      <c r="D290" s="10"/>
      <c r="E290" s="10"/>
      <c r="F290" s="14"/>
      <c r="G290" s="14"/>
      <c r="H290" s="14"/>
      <c r="I290" s="14"/>
      <c r="J290" s="14"/>
      <c r="K290" s="14"/>
      <c r="L290" s="14"/>
      <c r="M290" s="15"/>
      <c r="N290" s="12"/>
    </row>
    <row r="291" spans="1:14" ht="13" x14ac:dyDescent="0.15">
      <c r="A291" s="15"/>
      <c r="D291" s="10"/>
      <c r="E291" s="10"/>
      <c r="F291" s="14"/>
      <c r="G291" s="14"/>
      <c r="H291" s="14"/>
      <c r="I291" s="14"/>
      <c r="J291" s="14"/>
      <c r="K291" s="14"/>
      <c r="L291" s="14"/>
      <c r="M291" s="15"/>
      <c r="N291" s="12"/>
    </row>
    <row r="292" spans="1:14" ht="13" x14ac:dyDescent="0.15">
      <c r="A292" s="15"/>
      <c r="D292" s="10"/>
      <c r="E292" s="10"/>
      <c r="F292" s="14"/>
      <c r="G292" s="14"/>
      <c r="H292" s="14"/>
      <c r="I292" s="14"/>
      <c r="J292" s="14"/>
      <c r="K292" s="14"/>
      <c r="L292" s="14"/>
      <c r="M292" s="15"/>
      <c r="N292" s="12"/>
    </row>
    <row r="293" spans="1:14" ht="13" x14ac:dyDescent="0.15">
      <c r="A293" s="15"/>
      <c r="D293" s="10"/>
      <c r="E293" s="10"/>
      <c r="F293" s="14"/>
      <c r="G293" s="14"/>
      <c r="H293" s="14"/>
      <c r="I293" s="14"/>
      <c r="J293" s="14"/>
      <c r="K293" s="14"/>
      <c r="L293" s="14"/>
      <c r="M293" s="15"/>
      <c r="N293" s="12"/>
    </row>
    <row r="294" spans="1:14" ht="13" x14ac:dyDescent="0.15">
      <c r="A294" s="15"/>
      <c r="D294" s="10"/>
      <c r="E294" s="10"/>
      <c r="F294" s="14"/>
      <c r="G294" s="14"/>
      <c r="H294" s="14"/>
      <c r="I294" s="14"/>
      <c r="J294" s="14"/>
      <c r="K294" s="14"/>
      <c r="L294" s="14"/>
      <c r="M294" s="15"/>
      <c r="N294" s="12"/>
    </row>
    <row r="295" spans="1:14" ht="13" x14ac:dyDescent="0.15">
      <c r="A295" s="15"/>
      <c r="D295" s="10"/>
      <c r="E295" s="10"/>
      <c r="F295" s="14"/>
      <c r="G295" s="14"/>
      <c r="H295" s="14"/>
      <c r="I295" s="14"/>
      <c r="J295" s="14"/>
      <c r="K295" s="14"/>
      <c r="L295" s="14"/>
      <c r="M295" s="15"/>
      <c r="N295" s="12"/>
    </row>
    <row r="296" spans="1:14" ht="13" x14ac:dyDescent="0.15">
      <c r="A296" s="15"/>
      <c r="D296" s="10"/>
      <c r="E296" s="10"/>
      <c r="F296" s="14"/>
      <c r="G296" s="14"/>
      <c r="H296" s="14"/>
      <c r="I296" s="14"/>
      <c r="J296" s="14"/>
      <c r="K296" s="14"/>
      <c r="L296" s="14"/>
      <c r="M296" s="15"/>
      <c r="N296" s="12"/>
    </row>
    <row r="297" spans="1:14" ht="13" x14ac:dyDescent="0.15">
      <c r="A297" s="15"/>
      <c r="D297" s="10"/>
      <c r="E297" s="10"/>
      <c r="F297" s="14"/>
      <c r="G297" s="14"/>
      <c r="H297" s="14"/>
      <c r="I297" s="14"/>
      <c r="J297" s="14"/>
      <c r="K297" s="14"/>
      <c r="L297" s="14"/>
      <c r="M297" s="15"/>
      <c r="N297" s="12"/>
    </row>
    <row r="298" spans="1:14" ht="13" x14ac:dyDescent="0.15">
      <c r="A298" s="15"/>
      <c r="D298" s="10"/>
      <c r="E298" s="10"/>
      <c r="F298" s="14"/>
      <c r="G298" s="14"/>
      <c r="H298" s="14"/>
      <c r="I298" s="14"/>
      <c r="J298" s="14"/>
      <c r="K298" s="14"/>
      <c r="L298" s="14"/>
      <c r="M298" s="15"/>
      <c r="N298" s="12"/>
    </row>
    <row r="299" spans="1:14" ht="13" x14ac:dyDescent="0.15">
      <c r="A299" s="15"/>
      <c r="D299" s="10"/>
      <c r="E299" s="10"/>
      <c r="F299" s="14"/>
      <c r="G299" s="14"/>
      <c r="H299" s="14"/>
      <c r="I299" s="14"/>
      <c r="J299" s="14"/>
      <c r="K299" s="14"/>
      <c r="L299" s="14"/>
      <c r="M299" s="15"/>
      <c r="N299" s="12"/>
    </row>
    <row r="300" spans="1:14" ht="13" x14ac:dyDescent="0.15">
      <c r="A300" s="15"/>
      <c r="D300" s="10"/>
      <c r="E300" s="10"/>
      <c r="F300" s="14"/>
      <c r="G300" s="14"/>
      <c r="H300" s="14"/>
      <c r="I300" s="14"/>
      <c r="J300" s="14"/>
      <c r="K300" s="14"/>
      <c r="L300" s="14"/>
      <c r="M300" s="15"/>
      <c r="N300" s="12"/>
    </row>
    <row r="301" spans="1:14" ht="13" x14ac:dyDescent="0.15">
      <c r="A301" s="15"/>
      <c r="D301" s="10"/>
      <c r="E301" s="10"/>
      <c r="F301" s="14"/>
      <c r="G301" s="14"/>
      <c r="H301" s="14"/>
      <c r="I301" s="14"/>
      <c r="J301" s="14"/>
      <c r="K301" s="14"/>
      <c r="L301" s="14"/>
      <c r="M301" s="15"/>
      <c r="N301" s="12"/>
    </row>
    <row r="302" spans="1:14" ht="13" x14ac:dyDescent="0.15">
      <c r="A302" s="15"/>
      <c r="D302" s="10"/>
      <c r="E302" s="10"/>
      <c r="F302" s="14"/>
      <c r="G302" s="14"/>
      <c r="H302" s="14"/>
      <c r="I302" s="14"/>
      <c r="J302" s="14"/>
      <c r="K302" s="14"/>
      <c r="L302" s="14"/>
      <c r="M302" s="15"/>
      <c r="N302" s="12"/>
    </row>
    <row r="303" spans="1:14" ht="13" x14ac:dyDescent="0.15">
      <c r="A303" s="15"/>
      <c r="D303" s="10"/>
      <c r="E303" s="10"/>
      <c r="F303" s="14"/>
      <c r="G303" s="14"/>
      <c r="H303" s="14"/>
      <c r="I303" s="14"/>
      <c r="J303" s="14"/>
      <c r="K303" s="14"/>
      <c r="L303" s="14"/>
      <c r="M303" s="15"/>
      <c r="N303" s="12"/>
    </row>
    <row r="304" spans="1:14" ht="13" x14ac:dyDescent="0.15">
      <c r="A304" s="15"/>
      <c r="D304" s="10"/>
      <c r="E304" s="10"/>
      <c r="F304" s="14"/>
      <c r="G304" s="14"/>
      <c r="H304" s="14"/>
      <c r="I304" s="14"/>
      <c r="J304" s="14"/>
      <c r="K304" s="14"/>
      <c r="L304" s="14"/>
      <c r="M304" s="15"/>
      <c r="N304" s="12"/>
    </row>
    <row r="305" spans="1:14" ht="13" x14ac:dyDescent="0.15">
      <c r="A305" s="15"/>
      <c r="D305" s="10"/>
      <c r="E305" s="10"/>
      <c r="F305" s="14"/>
      <c r="G305" s="14"/>
      <c r="H305" s="14"/>
      <c r="I305" s="14"/>
      <c r="J305" s="14"/>
      <c r="K305" s="14"/>
      <c r="L305" s="14"/>
      <c r="M305" s="15"/>
      <c r="N305" s="12"/>
    </row>
    <row r="306" spans="1:14" ht="13" x14ac:dyDescent="0.15">
      <c r="A306" s="15"/>
      <c r="D306" s="10"/>
      <c r="E306" s="10"/>
      <c r="F306" s="14"/>
      <c r="G306" s="14"/>
      <c r="H306" s="14"/>
      <c r="I306" s="14"/>
      <c r="J306" s="14"/>
      <c r="K306" s="14"/>
      <c r="L306" s="14"/>
      <c r="M306" s="15"/>
      <c r="N306" s="12"/>
    </row>
    <row r="307" spans="1:14" ht="13" x14ac:dyDescent="0.15">
      <c r="A307" s="15"/>
      <c r="D307" s="10"/>
      <c r="E307" s="10"/>
      <c r="F307" s="14"/>
      <c r="G307" s="14"/>
      <c r="H307" s="14"/>
      <c r="I307" s="14"/>
      <c r="J307" s="14"/>
      <c r="K307" s="14"/>
      <c r="L307" s="14"/>
      <c r="M307" s="15"/>
      <c r="N307" s="12"/>
    </row>
    <row r="308" spans="1:14" ht="13" x14ac:dyDescent="0.15">
      <c r="A308" s="15"/>
      <c r="D308" s="10"/>
      <c r="E308" s="10"/>
      <c r="F308" s="14"/>
      <c r="G308" s="14"/>
      <c r="H308" s="14"/>
      <c r="I308" s="14"/>
      <c r="J308" s="14"/>
      <c r="K308" s="14"/>
      <c r="L308" s="14"/>
      <c r="M308" s="15"/>
      <c r="N308" s="12"/>
    </row>
    <row r="309" spans="1:14" ht="13" x14ac:dyDescent="0.15">
      <c r="A309" s="15"/>
      <c r="D309" s="10"/>
      <c r="E309" s="10"/>
      <c r="F309" s="14"/>
      <c r="G309" s="14"/>
      <c r="H309" s="14"/>
      <c r="I309" s="14"/>
      <c r="J309" s="14"/>
      <c r="K309" s="14"/>
      <c r="L309" s="14"/>
      <c r="M309" s="15"/>
      <c r="N309" s="12"/>
    </row>
    <row r="310" spans="1:14" ht="13" x14ac:dyDescent="0.15">
      <c r="A310" s="15"/>
      <c r="D310" s="10"/>
      <c r="E310" s="10"/>
      <c r="F310" s="14"/>
      <c r="G310" s="14"/>
      <c r="H310" s="14"/>
      <c r="I310" s="14"/>
      <c r="J310" s="14"/>
      <c r="K310" s="14"/>
      <c r="L310" s="14"/>
      <c r="M310" s="15"/>
      <c r="N310" s="12"/>
    </row>
    <row r="311" spans="1:14" ht="13" x14ac:dyDescent="0.15">
      <c r="A311" s="15"/>
      <c r="D311" s="10"/>
      <c r="E311" s="10"/>
      <c r="F311" s="14"/>
      <c r="G311" s="14"/>
      <c r="H311" s="14"/>
      <c r="I311" s="14"/>
      <c r="J311" s="14"/>
      <c r="K311" s="14"/>
      <c r="L311" s="14"/>
      <c r="M311" s="15"/>
      <c r="N311" s="12"/>
    </row>
    <row r="312" spans="1:14" ht="13" x14ac:dyDescent="0.15">
      <c r="A312" s="15"/>
      <c r="D312" s="10"/>
      <c r="E312" s="10"/>
      <c r="F312" s="14"/>
      <c r="G312" s="14"/>
      <c r="H312" s="14"/>
      <c r="I312" s="14"/>
      <c r="J312" s="14"/>
      <c r="K312" s="14"/>
      <c r="L312" s="14"/>
      <c r="M312" s="15"/>
      <c r="N312" s="12"/>
    </row>
    <row r="313" spans="1:14" ht="13" x14ac:dyDescent="0.15">
      <c r="A313" s="15"/>
      <c r="D313" s="10"/>
      <c r="E313" s="10"/>
      <c r="F313" s="14"/>
      <c r="G313" s="14"/>
      <c r="H313" s="14"/>
      <c r="I313" s="14"/>
      <c r="J313" s="14"/>
      <c r="K313" s="14"/>
      <c r="L313" s="14"/>
      <c r="M313" s="15"/>
      <c r="N313" s="12"/>
    </row>
    <row r="314" spans="1:14" ht="13" x14ac:dyDescent="0.15">
      <c r="A314" s="15"/>
      <c r="D314" s="10"/>
      <c r="E314" s="10"/>
      <c r="F314" s="14"/>
      <c r="G314" s="14"/>
      <c r="H314" s="14"/>
      <c r="I314" s="14"/>
      <c r="J314" s="14"/>
      <c r="K314" s="14"/>
      <c r="L314" s="14"/>
      <c r="M314" s="15"/>
      <c r="N314" s="12"/>
    </row>
    <row r="315" spans="1:14" ht="13" x14ac:dyDescent="0.15">
      <c r="A315" s="15"/>
      <c r="D315" s="10"/>
      <c r="E315" s="10"/>
      <c r="F315" s="14"/>
      <c r="G315" s="14"/>
      <c r="H315" s="14"/>
      <c r="I315" s="14"/>
      <c r="J315" s="14"/>
      <c r="K315" s="14"/>
      <c r="L315" s="14"/>
      <c r="M315" s="15"/>
      <c r="N315" s="12"/>
    </row>
    <row r="316" spans="1:14" ht="13" x14ac:dyDescent="0.15">
      <c r="A316" s="15"/>
      <c r="D316" s="10"/>
      <c r="E316" s="10"/>
      <c r="F316" s="14"/>
      <c r="G316" s="14"/>
      <c r="H316" s="14"/>
      <c r="I316" s="14"/>
      <c r="J316" s="14"/>
      <c r="K316" s="14"/>
      <c r="L316" s="14"/>
      <c r="M316" s="15"/>
      <c r="N316" s="12"/>
    </row>
    <row r="317" spans="1:14" ht="13" x14ac:dyDescent="0.15">
      <c r="A317" s="15"/>
      <c r="D317" s="10"/>
      <c r="E317" s="10"/>
      <c r="F317" s="14"/>
      <c r="G317" s="14"/>
      <c r="H317" s="14"/>
      <c r="I317" s="14"/>
      <c r="J317" s="14"/>
      <c r="K317" s="14"/>
      <c r="L317" s="14"/>
      <c r="M317" s="15"/>
      <c r="N317" s="12"/>
    </row>
    <row r="318" spans="1:14" ht="13" x14ac:dyDescent="0.15">
      <c r="A318" s="15"/>
      <c r="D318" s="10"/>
      <c r="E318" s="10"/>
      <c r="F318" s="14"/>
      <c r="G318" s="14"/>
      <c r="H318" s="14"/>
      <c r="I318" s="14"/>
      <c r="J318" s="14"/>
      <c r="K318" s="14"/>
      <c r="L318" s="14"/>
      <c r="M318" s="15"/>
      <c r="N318" s="12"/>
    </row>
    <row r="319" spans="1:14" ht="13" x14ac:dyDescent="0.15">
      <c r="A319" s="15"/>
      <c r="D319" s="10"/>
      <c r="E319" s="10"/>
      <c r="F319" s="14"/>
      <c r="G319" s="14"/>
      <c r="H319" s="14"/>
      <c r="I319" s="14"/>
      <c r="J319" s="14"/>
      <c r="K319" s="14"/>
      <c r="L319" s="14"/>
      <c r="M319" s="15"/>
      <c r="N319" s="12"/>
    </row>
    <row r="320" spans="1:14" ht="13" x14ac:dyDescent="0.15">
      <c r="A320" s="15"/>
      <c r="D320" s="10"/>
      <c r="E320" s="10"/>
      <c r="F320" s="14"/>
      <c r="G320" s="14"/>
      <c r="H320" s="14"/>
      <c r="I320" s="14"/>
      <c r="J320" s="14"/>
      <c r="K320" s="14"/>
      <c r="L320" s="14"/>
      <c r="M320" s="15"/>
      <c r="N320" s="12"/>
    </row>
    <row r="321" spans="1:14" ht="13" x14ac:dyDescent="0.15">
      <c r="A321" s="15"/>
      <c r="D321" s="10"/>
      <c r="E321" s="10"/>
      <c r="F321" s="14"/>
      <c r="G321" s="14"/>
      <c r="H321" s="14"/>
      <c r="I321" s="14"/>
      <c r="J321" s="14"/>
      <c r="K321" s="14"/>
      <c r="L321" s="14"/>
      <c r="M321" s="15"/>
      <c r="N321" s="12"/>
    </row>
    <row r="322" spans="1:14" ht="13" x14ac:dyDescent="0.15">
      <c r="A322" s="15"/>
      <c r="D322" s="10"/>
      <c r="E322" s="10"/>
      <c r="F322" s="14"/>
      <c r="G322" s="14"/>
      <c r="H322" s="14"/>
      <c r="I322" s="14"/>
      <c r="J322" s="14"/>
      <c r="K322" s="14"/>
      <c r="L322" s="14"/>
      <c r="M322" s="15"/>
      <c r="N322" s="12"/>
    </row>
    <row r="323" spans="1:14" ht="13" x14ac:dyDescent="0.15">
      <c r="A323" s="15"/>
      <c r="D323" s="10"/>
      <c r="E323" s="10"/>
      <c r="F323" s="14"/>
      <c r="G323" s="14"/>
      <c r="H323" s="14"/>
      <c r="I323" s="14"/>
      <c r="J323" s="14"/>
      <c r="K323" s="14"/>
      <c r="L323" s="14"/>
      <c r="M323" s="15"/>
      <c r="N323" s="12"/>
    </row>
    <row r="324" spans="1:14" ht="13" x14ac:dyDescent="0.15">
      <c r="A324" s="15"/>
      <c r="D324" s="10"/>
      <c r="E324" s="10"/>
      <c r="F324" s="14"/>
      <c r="G324" s="14"/>
      <c r="H324" s="14"/>
      <c r="I324" s="14"/>
      <c r="J324" s="14"/>
      <c r="K324" s="14"/>
      <c r="L324" s="14"/>
      <c r="M324" s="15"/>
      <c r="N324" s="12"/>
    </row>
    <row r="325" spans="1:14" ht="13" x14ac:dyDescent="0.15">
      <c r="A325" s="15"/>
      <c r="D325" s="10"/>
      <c r="E325" s="10"/>
      <c r="F325" s="14"/>
      <c r="G325" s="14"/>
      <c r="H325" s="14"/>
      <c r="I325" s="14"/>
      <c r="J325" s="14"/>
      <c r="K325" s="14"/>
      <c r="L325" s="14"/>
      <c r="M325" s="15"/>
      <c r="N325" s="12"/>
    </row>
    <row r="326" spans="1:14" ht="13" x14ac:dyDescent="0.15">
      <c r="A326" s="15"/>
      <c r="D326" s="10"/>
      <c r="E326" s="10"/>
      <c r="F326" s="14"/>
      <c r="G326" s="14"/>
      <c r="H326" s="14"/>
      <c r="I326" s="14"/>
      <c r="J326" s="14"/>
      <c r="K326" s="14"/>
      <c r="L326" s="14"/>
      <c r="M326" s="15"/>
      <c r="N326" s="12"/>
    </row>
    <row r="327" spans="1:14" ht="13" x14ac:dyDescent="0.15">
      <c r="A327" s="15"/>
      <c r="D327" s="10"/>
      <c r="E327" s="10"/>
      <c r="F327" s="14"/>
      <c r="G327" s="14"/>
      <c r="H327" s="14"/>
      <c r="I327" s="14"/>
      <c r="J327" s="14"/>
      <c r="K327" s="14"/>
      <c r="L327" s="14"/>
      <c r="M327" s="15"/>
      <c r="N327" s="12"/>
    </row>
    <row r="328" spans="1:14" ht="13" x14ac:dyDescent="0.15">
      <c r="A328" s="15"/>
      <c r="D328" s="10"/>
      <c r="E328" s="10"/>
      <c r="F328" s="14"/>
      <c r="G328" s="14"/>
      <c r="H328" s="14"/>
      <c r="I328" s="14"/>
      <c r="J328" s="14"/>
      <c r="K328" s="14"/>
      <c r="L328" s="14"/>
      <c r="M328" s="15"/>
      <c r="N328" s="12"/>
    </row>
    <row r="329" spans="1:14" ht="13" x14ac:dyDescent="0.15">
      <c r="A329" s="15"/>
      <c r="D329" s="10"/>
      <c r="E329" s="10"/>
      <c r="F329" s="14"/>
      <c r="G329" s="14"/>
      <c r="H329" s="14"/>
      <c r="I329" s="14"/>
      <c r="J329" s="14"/>
      <c r="K329" s="14"/>
      <c r="L329" s="14"/>
      <c r="M329" s="15"/>
      <c r="N329" s="12"/>
    </row>
    <row r="330" spans="1:14" ht="13" x14ac:dyDescent="0.15">
      <c r="A330" s="15"/>
      <c r="D330" s="10"/>
      <c r="E330" s="10"/>
      <c r="F330" s="14"/>
      <c r="G330" s="14"/>
      <c r="H330" s="14"/>
      <c r="I330" s="14"/>
      <c r="J330" s="14"/>
      <c r="K330" s="14"/>
      <c r="L330" s="14"/>
      <c r="M330" s="15"/>
      <c r="N330" s="12"/>
    </row>
    <row r="331" spans="1:14" ht="13" x14ac:dyDescent="0.15">
      <c r="A331" s="15"/>
      <c r="D331" s="10"/>
      <c r="E331" s="10"/>
      <c r="F331" s="14"/>
      <c r="G331" s="14"/>
      <c r="H331" s="14"/>
      <c r="I331" s="14"/>
      <c r="J331" s="14"/>
      <c r="K331" s="14"/>
      <c r="L331" s="14"/>
      <c r="M331" s="15"/>
      <c r="N331" s="12"/>
    </row>
    <row r="332" spans="1:14" ht="13" x14ac:dyDescent="0.15">
      <c r="A332" s="15"/>
      <c r="D332" s="10"/>
      <c r="E332" s="10"/>
      <c r="F332" s="14"/>
      <c r="G332" s="14"/>
      <c r="H332" s="14"/>
      <c r="I332" s="14"/>
      <c r="J332" s="14"/>
      <c r="K332" s="14"/>
      <c r="L332" s="14"/>
      <c r="M332" s="15"/>
      <c r="N332" s="12"/>
    </row>
    <row r="333" spans="1:14" ht="13" x14ac:dyDescent="0.15">
      <c r="A333" s="15"/>
      <c r="D333" s="10"/>
      <c r="E333" s="10"/>
      <c r="F333" s="14"/>
      <c r="G333" s="14"/>
      <c r="H333" s="14"/>
      <c r="I333" s="14"/>
      <c r="J333" s="14"/>
      <c r="K333" s="14"/>
      <c r="L333" s="14"/>
      <c r="M333" s="15"/>
      <c r="N333" s="12"/>
    </row>
    <row r="334" spans="1:14" ht="13" x14ac:dyDescent="0.15">
      <c r="A334" s="15"/>
      <c r="D334" s="10"/>
      <c r="E334" s="10"/>
      <c r="F334" s="14"/>
      <c r="G334" s="14"/>
      <c r="H334" s="14"/>
      <c r="I334" s="14"/>
      <c r="J334" s="14"/>
      <c r="K334" s="14"/>
      <c r="L334" s="14"/>
      <c r="M334" s="15"/>
      <c r="N334" s="12"/>
    </row>
    <row r="335" spans="1:14" ht="13" x14ac:dyDescent="0.15">
      <c r="A335" s="15"/>
      <c r="D335" s="10"/>
      <c r="E335" s="10"/>
      <c r="F335" s="14"/>
      <c r="G335" s="14"/>
      <c r="H335" s="14"/>
      <c r="I335" s="14"/>
      <c r="J335" s="14"/>
      <c r="K335" s="14"/>
      <c r="L335" s="14"/>
      <c r="M335" s="15"/>
      <c r="N335" s="12"/>
    </row>
    <row r="336" spans="1:14" ht="13" x14ac:dyDescent="0.15">
      <c r="A336" s="15"/>
      <c r="D336" s="10"/>
      <c r="E336" s="10"/>
      <c r="F336" s="14"/>
      <c r="G336" s="14"/>
      <c r="H336" s="14"/>
      <c r="I336" s="14"/>
      <c r="J336" s="14"/>
      <c r="K336" s="14"/>
      <c r="L336" s="14"/>
      <c r="M336" s="15"/>
      <c r="N336" s="12"/>
    </row>
    <row r="337" spans="1:14" ht="13" x14ac:dyDescent="0.15">
      <c r="A337" s="15"/>
      <c r="D337" s="10"/>
      <c r="E337" s="10"/>
      <c r="F337" s="14"/>
      <c r="G337" s="14"/>
      <c r="H337" s="14"/>
      <c r="I337" s="14"/>
      <c r="J337" s="14"/>
      <c r="K337" s="14"/>
      <c r="L337" s="14"/>
      <c r="M337" s="15"/>
      <c r="N337" s="12"/>
    </row>
    <row r="338" spans="1:14" ht="13" x14ac:dyDescent="0.15">
      <c r="A338" s="15"/>
      <c r="D338" s="10"/>
      <c r="E338" s="10"/>
      <c r="F338" s="14"/>
      <c r="G338" s="14"/>
      <c r="H338" s="14"/>
      <c r="I338" s="14"/>
      <c r="J338" s="14"/>
      <c r="K338" s="14"/>
      <c r="L338" s="14"/>
      <c r="M338" s="15"/>
      <c r="N338" s="12"/>
    </row>
    <row r="339" spans="1:14" ht="13" x14ac:dyDescent="0.15">
      <c r="A339" s="15"/>
      <c r="D339" s="10"/>
      <c r="E339" s="10"/>
      <c r="F339" s="14"/>
      <c r="G339" s="14"/>
      <c r="H339" s="14"/>
      <c r="I339" s="14"/>
      <c r="J339" s="14"/>
      <c r="K339" s="14"/>
      <c r="L339" s="14"/>
      <c r="M339" s="15"/>
      <c r="N339" s="12"/>
    </row>
    <row r="340" spans="1:14" ht="13" x14ac:dyDescent="0.15">
      <c r="A340" s="15"/>
      <c r="D340" s="10"/>
      <c r="E340" s="10"/>
      <c r="F340" s="14"/>
      <c r="G340" s="14"/>
      <c r="H340" s="14"/>
      <c r="I340" s="14"/>
      <c r="J340" s="14"/>
      <c r="K340" s="14"/>
      <c r="L340" s="14"/>
      <c r="M340" s="15"/>
      <c r="N340" s="12"/>
    </row>
    <row r="341" spans="1:14" ht="13" x14ac:dyDescent="0.15">
      <c r="A341" s="15"/>
      <c r="D341" s="10"/>
      <c r="E341" s="10"/>
      <c r="F341" s="14"/>
      <c r="G341" s="14"/>
      <c r="H341" s="14"/>
      <c r="I341" s="14"/>
      <c r="J341" s="14"/>
      <c r="K341" s="14"/>
      <c r="L341" s="14"/>
      <c r="M341" s="15"/>
      <c r="N341" s="12"/>
    </row>
    <row r="342" spans="1:14" ht="13" x14ac:dyDescent="0.15">
      <c r="A342" s="15"/>
      <c r="D342" s="10"/>
      <c r="E342" s="10"/>
      <c r="F342" s="14"/>
      <c r="G342" s="14"/>
      <c r="H342" s="14"/>
      <c r="I342" s="14"/>
      <c r="J342" s="14"/>
      <c r="K342" s="14"/>
      <c r="L342" s="14"/>
      <c r="M342" s="15"/>
      <c r="N342" s="12"/>
    </row>
    <row r="343" spans="1:14" ht="13" x14ac:dyDescent="0.15">
      <c r="A343" s="15"/>
      <c r="D343" s="10"/>
      <c r="E343" s="10"/>
      <c r="F343" s="14"/>
      <c r="G343" s="14"/>
      <c r="H343" s="14"/>
      <c r="I343" s="14"/>
      <c r="J343" s="14"/>
      <c r="K343" s="14"/>
      <c r="L343" s="14"/>
      <c r="M343" s="15"/>
      <c r="N343" s="12"/>
    </row>
    <row r="344" spans="1:14" ht="13" x14ac:dyDescent="0.15">
      <c r="A344" s="15"/>
      <c r="D344" s="10"/>
      <c r="E344" s="10"/>
      <c r="F344" s="14"/>
      <c r="G344" s="14"/>
      <c r="H344" s="14"/>
      <c r="I344" s="14"/>
      <c r="J344" s="14"/>
      <c r="K344" s="14"/>
      <c r="L344" s="14"/>
      <c r="M344" s="15"/>
      <c r="N344" s="12"/>
    </row>
    <row r="345" spans="1:14" ht="13" x14ac:dyDescent="0.15">
      <c r="A345" s="15"/>
      <c r="D345" s="10"/>
      <c r="E345" s="10"/>
      <c r="F345" s="14"/>
      <c r="G345" s="14"/>
      <c r="H345" s="14"/>
      <c r="I345" s="14"/>
      <c r="J345" s="14"/>
      <c r="K345" s="14"/>
      <c r="L345" s="14"/>
      <c r="M345" s="15"/>
      <c r="N345" s="12"/>
    </row>
    <row r="346" spans="1:14" ht="13" x14ac:dyDescent="0.15">
      <c r="A346" s="15"/>
      <c r="D346" s="10"/>
      <c r="E346" s="10"/>
      <c r="F346" s="14"/>
      <c r="G346" s="14"/>
      <c r="H346" s="14"/>
      <c r="I346" s="14"/>
      <c r="J346" s="14"/>
      <c r="K346" s="14"/>
      <c r="L346" s="14"/>
      <c r="M346" s="15"/>
      <c r="N346" s="12"/>
    </row>
    <row r="347" spans="1:14" ht="13" x14ac:dyDescent="0.15">
      <c r="A347" s="15"/>
      <c r="D347" s="10"/>
      <c r="E347" s="10"/>
      <c r="F347" s="14"/>
      <c r="G347" s="14"/>
      <c r="H347" s="14"/>
      <c r="I347" s="14"/>
      <c r="J347" s="14"/>
      <c r="K347" s="14"/>
      <c r="L347" s="14"/>
      <c r="M347" s="15"/>
      <c r="N347" s="12"/>
    </row>
    <row r="348" spans="1:14" ht="13" x14ac:dyDescent="0.15">
      <c r="A348" s="15"/>
      <c r="D348" s="10"/>
      <c r="E348" s="10"/>
      <c r="F348" s="14"/>
      <c r="G348" s="14"/>
      <c r="H348" s="14"/>
      <c r="I348" s="14"/>
      <c r="J348" s="14"/>
      <c r="K348" s="14"/>
      <c r="L348" s="14"/>
      <c r="M348" s="15"/>
      <c r="N348" s="12"/>
    </row>
    <row r="349" spans="1:14" ht="13" x14ac:dyDescent="0.15">
      <c r="A349" s="15"/>
      <c r="D349" s="10"/>
      <c r="E349" s="10"/>
      <c r="F349" s="14"/>
      <c r="G349" s="14"/>
      <c r="H349" s="14"/>
      <c r="I349" s="14"/>
      <c r="J349" s="14"/>
      <c r="K349" s="14"/>
      <c r="L349" s="14"/>
      <c r="M349" s="15"/>
      <c r="N349" s="12"/>
    </row>
    <row r="350" spans="1:14" ht="13" x14ac:dyDescent="0.15">
      <c r="A350" s="15"/>
      <c r="D350" s="10"/>
      <c r="E350" s="10"/>
      <c r="F350" s="14"/>
      <c r="G350" s="14"/>
      <c r="H350" s="14"/>
      <c r="I350" s="14"/>
      <c r="J350" s="14"/>
      <c r="K350" s="14"/>
      <c r="L350" s="14"/>
      <c r="M350" s="15"/>
      <c r="N350" s="12"/>
    </row>
    <row r="351" spans="1:14" ht="13" x14ac:dyDescent="0.15">
      <c r="A351" s="15"/>
      <c r="D351" s="10"/>
      <c r="E351" s="10"/>
      <c r="F351" s="14"/>
      <c r="G351" s="14"/>
      <c r="H351" s="14"/>
      <c r="I351" s="14"/>
      <c r="J351" s="14"/>
      <c r="K351" s="14"/>
      <c r="L351" s="14"/>
      <c r="M351" s="15"/>
      <c r="N351" s="12"/>
    </row>
    <row r="352" spans="1:14" ht="13" x14ac:dyDescent="0.15">
      <c r="A352" s="15"/>
      <c r="D352" s="10"/>
      <c r="E352" s="10"/>
      <c r="F352" s="14"/>
      <c r="G352" s="14"/>
      <c r="H352" s="14"/>
      <c r="I352" s="14"/>
      <c r="J352" s="14"/>
      <c r="K352" s="14"/>
      <c r="L352" s="14"/>
      <c r="M352" s="15"/>
      <c r="N352" s="12"/>
    </row>
    <row r="353" spans="1:14" ht="13" x14ac:dyDescent="0.15">
      <c r="A353" s="15"/>
      <c r="D353" s="10"/>
      <c r="E353" s="10"/>
      <c r="F353" s="14"/>
      <c r="G353" s="14"/>
      <c r="H353" s="14"/>
      <c r="I353" s="14"/>
      <c r="J353" s="14"/>
      <c r="K353" s="14"/>
      <c r="L353" s="14"/>
      <c r="M353" s="15"/>
      <c r="N353" s="12"/>
    </row>
    <row r="354" spans="1:14" ht="13" x14ac:dyDescent="0.15">
      <c r="A354" s="15"/>
      <c r="D354" s="10"/>
      <c r="E354" s="10"/>
      <c r="F354" s="14"/>
      <c r="G354" s="14"/>
      <c r="H354" s="14"/>
      <c r="I354" s="14"/>
      <c r="J354" s="14"/>
      <c r="K354" s="14"/>
      <c r="L354" s="14"/>
      <c r="M354" s="15"/>
      <c r="N354" s="12"/>
    </row>
    <row r="355" spans="1:14" ht="13" x14ac:dyDescent="0.15">
      <c r="A355" s="15"/>
      <c r="D355" s="10"/>
      <c r="E355" s="10"/>
      <c r="F355" s="14"/>
      <c r="G355" s="14"/>
      <c r="H355" s="14"/>
      <c r="I355" s="14"/>
      <c r="J355" s="14"/>
      <c r="K355" s="14"/>
      <c r="L355" s="14"/>
      <c r="M355" s="15"/>
      <c r="N355" s="12"/>
    </row>
    <row r="356" spans="1:14" ht="13" x14ac:dyDescent="0.15">
      <c r="A356" s="15"/>
      <c r="D356" s="10"/>
      <c r="E356" s="10"/>
      <c r="F356" s="14"/>
      <c r="G356" s="14"/>
      <c r="H356" s="14"/>
      <c r="I356" s="14"/>
      <c r="J356" s="14"/>
      <c r="K356" s="14"/>
      <c r="L356" s="14"/>
      <c r="M356" s="15"/>
      <c r="N356" s="12"/>
    </row>
    <row r="357" spans="1:14" ht="13" x14ac:dyDescent="0.15">
      <c r="A357" s="15"/>
      <c r="D357" s="10"/>
      <c r="E357" s="10"/>
      <c r="F357" s="14"/>
      <c r="G357" s="14"/>
      <c r="H357" s="14"/>
      <c r="I357" s="14"/>
      <c r="J357" s="14"/>
      <c r="K357" s="14"/>
      <c r="L357" s="14"/>
      <c r="M357" s="15"/>
      <c r="N357" s="12"/>
    </row>
    <row r="358" spans="1:14" ht="13" x14ac:dyDescent="0.15">
      <c r="A358" s="15"/>
      <c r="D358" s="10"/>
      <c r="E358" s="10"/>
      <c r="F358" s="14"/>
      <c r="G358" s="14"/>
      <c r="H358" s="14"/>
      <c r="I358" s="14"/>
      <c r="J358" s="14"/>
      <c r="K358" s="14"/>
      <c r="L358" s="14"/>
      <c r="M358" s="15"/>
      <c r="N358" s="12"/>
    </row>
    <row r="359" spans="1:14" ht="13" x14ac:dyDescent="0.15">
      <c r="A359" s="15"/>
      <c r="D359" s="10"/>
      <c r="E359" s="10"/>
      <c r="F359" s="14"/>
      <c r="G359" s="14"/>
      <c r="H359" s="14"/>
      <c r="I359" s="14"/>
      <c r="J359" s="14"/>
      <c r="K359" s="14"/>
      <c r="L359" s="14"/>
      <c r="M359" s="15"/>
      <c r="N359" s="12"/>
    </row>
    <row r="360" spans="1:14" ht="13" x14ac:dyDescent="0.15">
      <c r="A360" s="15"/>
      <c r="D360" s="10"/>
      <c r="E360" s="10"/>
      <c r="F360" s="14"/>
      <c r="G360" s="14"/>
      <c r="H360" s="14"/>
      <c r="I360" s="14"/>
      <c r="J360" s="14"/>
      <c r="K360" s="14"/>
      <c r="L360" s="14"/>
      <c r="M360" s="15"/>
      <c r="N360" s="12"/>
    </row>
    <row r="361" spans="1:14" ht="13" x14ac:dyDescent="0.15">
      <c r="A361" s="15"/>
      <c r="D361" s="10"/>
      <c r="E361" s="10"/>
      <c r="F361" s="14"/>
      <c r="G361" s="14"/>
      <c r="H361" s="14"/>
      <c r="I361" s="14"/>
      <c r="J361" s="14"/>
      <c r="K361" s="14"/>
      <c r="L361" s="14"/>
      <c r="M361" s="15"/>
      <c r="N361" s="12"/>
    </row>
    <row r="362" spans="1:14" ht="13" x14ac:dyDescent="0.15">
      <c r="A362" s="15"/>
      <c r="D362" s="10"/>
      <c r="E362" s="10"/>
      <c r="F362" s="14"/>
      <c r="G362" s="14"/>
      <c r="H362" s="14"/>
      <c r="I362" s="14"/>
      <c r="J362" s="14"/>
      <c r="K362" s="14"/>
      <c r="L362" s="14"/>
      <c r="M362" s="15"/>
      <c r="N362" s="12"/>
    </row>
    <row r="363" spans="1:14" ht="13" x14ac:dyDescent="0.15">
      <c r="A363" s="15"/>
      <c r="D363" s="10"/>
      <c r="E363" s="10"/>
      <c r="F363" s="14"/>
      <c r="G363" s="14"/>
      <c r="H363" s="14"/>
      <c r="I363" s="14"/>
      <c r="J363" s="14"/>
      <c r="K363" s="14"/>
      <c r="L363" s="14"/>
      <c r="M363" s="15"/>
      <c r="N363" s="12"/>
    </row>
    <row r="364" spans="1:14" ht="13" x14ac:dyDescent="0.15">
      <c r="A364" s="15"/>
      <c r="D364" s="10"/>
      <c r="E364" s="10"/>
      <c r="F364" s="14"/>
      <c r="G364" s="14"/>
      <c r="H364" s="14"/>
      <c r="I364" s="14"/>
      <c r="J364" s="14"/>
      <c r="K364" s="14"/>
      <c r="L364" s="14"/>
      <c r="M364" s="15"/>
      <c r="N364" s="12"/>
    </row>
    <row r="365" spans="1:14" ht="13" x14ac:dyDescent="0.15">
      <c r="A365" s="15"/>
      <c r="D365" s="10"/>
      <c r="E365" s="10"/>
      <c r="F365" s="14"/>
      <c r="G365" s="14"/>
      <c r="H365" s="14"/>
      <c r="I365" s="14"/>
      <c r="J365" s="14"/>
      <c r="K365" s="14"/>
      <c r="L365" s="14"/>
      <c r="M365" s="15"/>
      <c r="N365" s="12"/>
    </row>
    <row r="366" spans="1:14" ht="13" x14ac:dyDescent="0.15">
      <c r="A366" s="15"/>
      <c r="D366" s="10"/>
      <c r="E366" s="10"/>
      <c r="F366" s="14"/>
      <c r="G366" s="14"/>
      <c r="H366" s="14"/>
      <c r="I366" s="14"/>
      <c r="J366" s="14"/>
      <c r="K366" s="14"/>
      <c r="L366" s="14"/>
      <c r="M366" s="15"/>
      <c r="N366" s="12"/>
    </row>
    <row r="367" spans="1:14" ht="13" x14ac:dyDescent="0.15">
      <c r="A367" s="15"/>
      <c r="D367" s="10"/>
      <c r="E367" s="10"/>
      <c r="F367" s="14"/>
      <c r="G367" s="14"/>
      <c r="H367" s="14"/>
      <c r="I367" s="14"/>
      <c r="J367" s="14"/>
      <c r="K367" s="14"/>
      <c r="L367" s="14"/>
      <c r="M367" s="15"/>
      <c r="N367" s="12"/>
    </row>
    <row r="368" spans="1:14" ht="13" x14ac:dyDescent="0.15">
      <c r="A368" s="15"/>
      <c r="D368" s="10"/>
      <c r="E368" s="10"/>
      <c r="F368" s="14"/>
      <c r="G368" s="14"/>
      <c r="H368" s="14"/>
      <c r="I368" s="14"/>
      <c r="J368" s="14"/>
      <c r="K368" s="14"/>
      <c r="L368" s="14"/>
      <c r="M368" s="15"/>
      <c r="N368" s="12"/>
    </row>
    <row r="369" spans="1:14" ht="13" x14ac:dyDescent="0.15">
      <c r="A369" s="15"/>
      <c r="D369" s="10"/>
      <c r="E369" s="10"/>
      <c r="F369" s="14"/>
      <c r="G369" s="14"/>
      <c r="H369" s="14"/>
      <c r="I369" s="14"/>
      <c r="J369" s="14"/>
      <c r="K369" s="14"/>
      <c r="L369" s="14"/>
      <c r="M369" s="15"/>
      <c r="N369" s="12"/>
    </row>
    <row r="370" spans="1:14" ht="13" x14ac:dyDescent="0.15">
      <c r="A370" s="15"/>
      <c r="D370" s="10"/>
      <c r="E370" s="10"/>
      <c r="F370" s="14"/>
      <c r="G370" s="14"/>
      <c r="H370" s="14"/>
      <c r="I370" s="14"/>
      <c r="J370" s="14"/>
      <c r="K370" s="14"/>
      <c r="L370" s="14"/>
      <c r="M370" s="15"/>
      <c r="N370" s="12"/>
    </row>
    <row r="371" spans="1:14" ht="13" x14ac:dyDescent="0.15">
      <c r="A371" s="15"/>
      <c r="D371" s="10"/>
      <c r="E371" s="10"/>
      <c r="F371" s="14"/>
      <c r="G371" s="14"/>
      <c r="H371" s="14"/>
      <c r="I371" s="14"/>
      <c r="J371" s="14"/>
      <c r="K371" s="14"/>
      <c r="L371" s="14"/>
      <c r="M371" s="15"/>
      <c r="N371" s="12"/>
    </row>
    <row r="372" spans="1:14" ht="13" x14ac:dyDescent="0.15">
      <c r="A372" s="15"/>
      <c r="D372" s="10"/>
      <c r="E372" s="10"/>
      <c r="F372" s="14"/>
      <c r="G372" s="14"/>
      <c r="H372" s="14"/>
      <c r="I372" s="14"/>
      <c r="J372" s="14"/>
      <c r="K372" s="14"/>
      <c r="L372" s="14"/>
      <c r="M372" s="15"/>
      <c r="N372" s="12"/>
    </row>
    <row r="373" spans="1:14" ht="13" x14ac:dyDescent="0.15">
      <c r="A373" s="15"/>
      <c r="D373" s="10"/>
      <c r="E373" s="10"/>
      <c r="F373" s="14"/>
      <c r="G373" s="14"/>
      <c r="H373" s="14"/>
      <c r="I373" s="14"/>
      <c r="J373" s="14"/>
      <c r="K373" s="14"/>
      <c r="L373" s="14"/>
      <c r="M373" s="15"/>
      <c r="N373" s="12"/>
    </row>
    <row r="374" spans="1:14" ht="13" x14ac:dyDescent="0.15">
      <c r="A374" s="15"/>
      <c r="D374" s="10"/>
      <c r="E374" s="10"/>
      <c r="F374" s="14"/>
      <c r="G374" s="14"/>
      <c r="H374" s="14"/>
      <c r="I374" s="14"/>
      <c r="J374" s="14"/>
      <c r="K374" s="14"/>
      <c r="L374" s="14"/>
      <c r="M374" s="15"/>
      <c r="N374" s="12"/>
    </row>
    <row r="375" spans="1:14" ht="13" x14ac:dyDescent="0.15">
      <c r="A375" s="15"/>
      <c r="D375" s="10"/>
      <c r="E375" s="10"/>
      <c r="F375" s="14"/>
      <c r="G375" s="14"/>
      <c r="H375" s="14"/>
      <c r="I375" s="14"/>
      <c r="J375" s="14"/>
      <c r="K375" s="14"/>
      <c r="L375" s="14"/>
      <c r="M375" s="15"/>
      <c r="N375" s="12"/>
    </row>
    <row r="376" spans="1:14" ht="13" x14ac:dyDescent="0.15">
      <c r="A376" s="15"/>
      <c r="D376" s="10"/>
      <c r="E376" s="10"/>
      <c r="F376" s="14"/>
      <c r="G376" s="14"/>
      <c r="H376" s="14"/>
      <c r="I376" s="14"/>
      <c r="J376" s="14"/>
      <c r="K376" s="14"/>
      <c r="L376" s="14"/>
      <c r="M376" s="15"/>
      <c r="N376" s="12"/>
    </row>
    <row r="377" spans="1:14" ht="13" x14ac:dyDescent="0.15">
      <c r="A377" s="15"/>
      <c r="D377" s="10"/>
      <c r="E377" s="10"/>
      <c r="F377" s="14"/>
      <c r="G377" s="14"/>
      <c r="H377" s="14"/>
      <c r="I377" s="14"/>
      <c r="J377" s="14"/>
      <c r="K377" s="14"/>
      <c r="L377" s="14"/>
      <c r="M377" s="15"/>
      <c r="N377" s="12"/>
    </row>
    <row r="378" spans="1:14" ht="13" x14ac:dyDescent="0.15">
      <c r="A378" s="15"/>
      <c r="D378" s="10"/>
      <c r="E378" s="10"/>
      <c r="F378" s="14"/>
      <c r="G378" s="14"/>
      <c r="H378" s="14"/>
      <c r="I378" s="14"/>
      <c r="J378" s="14"/>
      <c r="K378" s="14"/>
      <c r="L378" s="14"/>
      <c r="M378" s="15"/>
      <c r="N378" s="12"/>
    </row>
    <row r="379" spans="1:14" ht="13" x14ac:dyDescent="0.15">
      <c r="A379" s="15"/>
      <c r="D379" s="10"/>
      <c r="E379" s="10"/>
      <c r="F379" s="14"/>
      <c r="G379" s="14"/>
      <c r="H379" s="14"/>
      <c r="I379" s="14"/>
      <c r="J379" s="14"/>
      <c r="K379" s="14"/>
      <c r="L379" s="14"/>
      <c r="M379" s="15"/>
      <c r="N379" s="12"/>
    </row>
    <row r="380" spans="1:14" ht="13" x14ac:dyDescent="0.15">
      <c r="A380" s="15"/>
      <c r="D380" s="10"/>
      <c r="E380" s="10"/>
      <c r="F380" s="14"/>
      <c r="G380" s="14"/>
      <c r="H380" s="14"/>
      <c r="I380" s="14"/>
      <c r="J380" s="14"/>
      <c r="K380" s="14"/>
      <c r="L380" s="14"/>
      <c r="M380" s="15"/>
      <c r="N380" s="12"/>
    </row>
    <row r="381" spans="1:14" ht="13" x14ac:dyDescent="0.15">
      <c r="A381" s="15"/>
      <c r="D381" s="10"/>
      <c r="E381" s="10"/>
      <c r="F381" s="14"/>
      <c r="G381" s="14"/>
      <c r="H381" s="14"/>
      <c r="I381" s="14"/>
      <c r="J381" s="14"/>
      <c r="K381" s="14"/>
      <c r="L381" s="14"/>
      <c r="M381" s="15"/>
      <c r="N381" s="12"/>
    </row>
    <row r="382" spans="1:14" ht="13" x14ac:dyDescent="0.15">
      <c r="A382" s="15"/>
      <c r="D382" s="10"/>
      <c r="E382" s="10"/>
      <c r="F382" s="14"/>
      <c r="G382" s="14"/>
      <c r="H382" s="14"/>
      <c r="I382" s="14"/>
      <c r="J382" s="14"/>
      <c r="K382" s="14"/>
      <c r="L382" s="14"/>
      <c r="M382" s="15"/>
      <c r="N382" s="12"/>
    </row>
    <row r="383" spans="1:14" ht="13" x14ac:dyDescent="0.15">
      <c r="A383" s="15"/>
      <c r="D383" s="10"/>
      <c r="E383" s="10"/>
      <c r="F383" s="14"/>
      <c r="G383" s="14"/>
      <c r="H383" s="14"/>
      <c r="I383" s="14"/>
      <c r="J383" s="14"/>
      <c r="K383" s="14"/>
      <c r="L383" s="14"/>
      <c r="M383" s="15"/>
      <c r="N383" s="12"/>
    </row>
    <row r="384" spans="1:14" ht="13" x14ac:dyDescent="0.15">
      <c r="A384" s="15"/>
      <c r="D384" s="10"/>
      <c r="E384" s="10"/>
      <c r="F384" s="14"/>
      <c r="G384" s="14"/>
      <c r="H384" s="14"/>
      <c r="I384" s="14"/>
      <c r="J384" s="14"/>
      <c r="K384" s="14"/>
      <c r="L384" s="14"/>
      <c r="M384" s="15"/>
      <c r="N384" s="12"/>
    </row>
    <row r="385" spans="1:14" ht="13" x14ac:dyDescent="0.15">
      <c r="A385" s="15"/>
      <c r="D385" s="10"/>
      <c r="E385" s="10"/>
      <c r="F385" s="14"/>
      <c r="G385" s="14"/>
      <c r="H385" s="14"/>
      <c r="I385" s="14"/>
      <c r="J385" s="14"/>
      <c r="K385" s="14"/>
      <c r="L385" s="14"/>
      <c r="M385" s="15"/>
      <c r="N385" s="12"/>
    </row>
    <row r="386" spans="1:14" ht="13" x14ac:dyDescent="0.15">
      <c r="A386" s="15"/>
      <c r="D386" s="10"/>
      <c r="E386" s="10"/>
      <c r="F386" s="14"/>
      <c r="G386" s="14"/>
      <c r="H386" s="14"/>
      <c r="I386" s="14"/>
      <c r="J386" s="14"/>
      <c r="K386" s="14"/>
      <c r="L386" s="14"/>
      <c r="M386" s="15"/>
      <c r="N386" s="12"/>
    </row>
    <row r="387" spans="1:14" ht="13" x14ac:dyDescent="0.15">
      <c r="A387" s="15"/>
      <c r="D387" s="10"/>
      <c r="E387" s="10"/>
      <c r="F387" s="14"/>
      <c r="G387" s="14"/>
      <c r="H387" s="14"/>
      <c r="I387" s="14"/>
      <c r="J387" s="14"/>
      <c r="K387" s="14"/>
      <c r="L387" s="14"/>
      <c r="M387" s="15"/>
      <c r="N387" s="12"/>
    </row>
    <row r="388" spans="1:14" ht="13" x14ac:dyDescent="0.15">
      <c r="A388" s="15"/>
      <c r="D388" s="10"/>
      <c r="E388" s="10"/>
      <c r="F388" s="14"/>
      <c r="G388" s="14"/>
      <c r="H388" s="14"/>
      <c r="I388" s="14"/>
      <c r="J388" s="14"/>
      <c r="K388" s="14"/>
      <c r="L388" s="14"/>
      <c r="M388" s="15"/>
      <c r="N388" s="12"/>
    </row>
    <row r="389" spans="1:14" ht="13" x14ac:dyDescent="0.15">
      <c r="A389" s="15"/>
      <c r="D389" s="10"/>
      <c r="E389" s="10"/>
      <c r="F389" s="14"/>
      <c r="G389" s="14"/>
      <c r="H389" s="14"/>
      <c r="I389" s="14"/>
      <c r="J389" s="14"/>
      <c r="K389" s="14"/>
      <c r="L389" s="14"/>
      <c r="M389" s="15"/>
      <c r="N389" s="12"/>
    </row>
    <row r="390" spans="1:14" ht="13" x14ac:dyDescent="0.15">
      <c r="A390" s="15"/>
      <c r="D390" s="10"/>
      <c r="E390" s="10"/>
      <c r="F390" s="14"/>
      <c r="G390" s="14"/>
      <c r="H390" s="14"/>
      <c r="I390" s="14"/>
      <c r="J390" s="14"/>
      <c r="K390" s="14"/>
      <c r="L390" s="14"/>
      <c r="M390" s="15"/>
      <c r="N390" s="12"/>
    </row>
    <row r="391" spans="1:14" ht="13" x14ac:dyDescent="0.15">
      <c r="A391" s="15"/>
      <c r="D391" s="10"/>
      <c r="E391" s="10"/>
      <c r="F391" s="14"/>
      <c r="G391" s="14"/>
      <c r="H391" s="14"/>
      <c r="I391" s="14"/>
      <c r="J391" s="14"/>
      <c r="K391" s="14"/>
      <c r="L391" s="14"/>
      <c r="M391" s="15"/>
      <c r="N391" s="12"/>
    </row>
    <row r="392" spans="1:14" ht="13" x14ac:dyDescent="0.15">
      <c r="A392" s="15"/>
      <c r="D392" s="10"/>
      <c r="E392" s="10"/>
      <c r="F392" s="14"/>
      <c r="G392" s="14"/>
      <c r="H392" s="14"/>
      <c r="I392" s="14"/>
      <c r="J392" s="14"/>
      <c r="K392" s="14"/>
      <c r="L392" s="14"/>
      <c r="M392" s="15"/>
      <c r="N392" s="12"/>
    </row>
    <row r="393" spans="1:14" ht="13" x14ac:dyDescent="0.15">
      <c r="A393" s="15"/>
      <c r="D393" s="10"/>
      <c r="E393" s="10"/>
      <c r="F393" s="14"/>
      <c r="G393" s="14"/>
      <c r="H393" s="14"/>
      <c r="I393" s="14"/>
      <c r="J393" s="14"/>
      <c r="K393" s="14"/>
      <c r="L393" s="14"/>
      <c r="M393" s="15"/>
      <c r="N393" s="12"/>
    </row>
    <row r="394" spans="1:14" ht="13" x14ac:dyDescent="0.15">
      <c r="A394" s="15"/>
      <c r="D394" s="10"/>
      <c r="E394" s="10"/>
      <c r="F394" s="14"/>
      <c r="G394" s="14"/>
      <c r="H394" s="14"/>
      <c r="I394" s="14"/>
      <c r="J394" s="14"/>
      <c r="K394" s="14"/>
      <c r="L394" s="14"/>
      <c r="M394" s="15"/>
      <c r="N394" s="12"/>
    </row>
    <row r="395" spans="1:14" ht="13" x14ac:dyDescent="0.15">
      <c r="A395" s="15"/>
      <c r="D395" s="10"/>
      <c r="E395" s="10"/>
      <c r="F395" s="14"/>
      <c r="G395" s="14"/>
      <c r="H395" s="14"/>
      <c r="I395" s="14"/>
      <c r="J395" s="14"/>
      <c r="K395" s="14"/>
      <c r="L395" s="14"/>
      <c r="M395" s="15"/>
      <c r="N395" s="12"/>
    </row>
    <row r="396" spans="1:14" ht="13" x14ac:dyDescent="0.15">
      <c r="A396" s="15"/>
      <c r="D396" s="10"/>
      <c r="E396" s="10"/>
      <c r="F396" s="14"/>
      <c r="G396" s="14"/>
      <c r="H396" s="14"/>
      <c r="I396" s="14"/>
      <c r="J396" s="14"/>
      <c r="K396" s="14"/>
      <c r="L396" s="14"/>
      <c r="M396" s="15"/>
      <c r="N396" s="12"/>
    </row>
    <row r="397" spans="1:14" ht="13" x14ac:dyDescent="0.15">
      <c r="A397" s="15"/>
      <c r="D397" s="10"/>
      <c r="E397" s="10"/>
      <c r="F397" s="14"/>
      <c r="G397" s="14"/>
      <c r="H397" s="14"/>
      <c r="I397" s="14"/>
      <c r="J397" s="14"/>
      <c r="K397" s="14"/>
      <c r="L397" s="14"/>
      <c r="M397" s="15"/>
      <c r="N397" s="12"/>
    </row>
    <row r="398" spans="1:14" ht="13" x14ac:dyDescent="0.15">
      <c r="A398" s="15"/>
      <c r="D398" s="10"/>
      <c r="E398" s="10"/>
      <c r="F398" s="14"/>
      <c r="G398" s="14"/>
      <c r="H398" s="14"/>
      <c r="I398" s="14"/>
      <c r="J398" s="14"/>
      <c r="K398" s="14"/>
      <c r="L398" s="14"/>
      <c r="M398" s="15"/>
      <c r="N398" s="12"/>
    </row>
    <row r="399" spans="1:14" ht="13" x14ac:dyDescent="0.15">
      <c r="A399" s="15"/>
      <c r="D399" s="10"/>
      <c r="E399" s="10"/>
      <c r="F399" s="14"/>
      <c r="G399" s="14"/>
      <c r="H399" s="14"/>
      <c r="I399" s="14"/>
      <c r="J399" s="14"/>
      <c r="K399" s="14"/>
      <c r="L399" s="14"/>
      <c r="M399" s="15"/>
      <c r="N399" s="12"/>
    </row>
    <row r="400" spans="1:14" ht="13" x14ac:dyDescent="0.15">
      <c r="A400" s="15"/>
      <c r="D400" s="10"/>
      <c r="E400" s="10"/>
      <c r="F400" s="14"/>
      <c r="G400" s="14"/>
      <c r="H400" s="14"/>
      <c r="I400" s="14"/>
      <c r="J400" s="14"/>
      <c r="K400" s="14"/>
      <c r="L400" s="14"/>
      <c r="M400" s="15"/>
      <c r="N400" s="12"/>
    </row>
    <row r="401" spans="1:14" ht="13" x14ac:dyDescent="0.15">
      <c r="A401" s="15"/>
      <c r="D401" s="10"/>
      <c r="E401" s="10"/>
      <c r="F401" s="14"/>
      <c r="G401" s="14"/>
      <c r="H401" s="14"/>
      <c r="I401" s="14"/>
      <c r="J401" s="14"/>
      <c r="K401" s="14"/>
      <c r="L401" s="14"/>
      <c r="M401" s="15"/>
      <c r="N401" s="12"/>
    </row>
    <row r="402" spans="1:14" ht="13" x14ac:dyDescent="0.15">
      <c r="A402" s="15"/>
      <c r="D402" s="10"/>
      <c r="E402" s="10"/>
      <c r="F402" s="14"/>
      <c r="G402" s="14"/>
      <c r="H402" s="14"/>
      <c r="I402" s="14"/>
      <c r="J402" s="14"/>
      <c r="K402" s="14"/>
      <c r="L402" s="14"/>
      <c r="M402" s="15"/>
      <c r="N402" s="12"/>
    </row>
    <row r="403" spans="1:14" ht="13" x14ac:dyDescent="0.15">
      <c r="A403" s="15"/>
      <c r="D403" s="10"/>
      <c r="E403" s="10"/>
      <c r="F403" s="14"/>
      <c r="G403" s="14"/>
      <c r="H403" s="14"/>
      <c r="I403" s="14"/>
      <c r="J403" s="14"/>
      <c r="K403" s="14"/>
      <c r="L403" s="14"/>
      <c r="M403" s="15"/>
      <c r="N403" s="12"/>
    </row>
    <row r="404" spans="1:14" ht="13" x14ac:dyDescent="0.15">
      <c r="A404" s="15"/>
      <c r="D404" s="10"/>
      <c r="E404" s="10"/>
      <c r="F404" s="14"/>
      <c r="G404" s="14"/>
      <c r="H404" s="14"/>
      <c r="I404" s="14"/>
      <c r="J404" s="14"/>
      <c r="K404" s="14"/>
      <c r="L404" s="14"/>
      <c r="M404" s="15"/>
      <c r="N404" s="12"/>
    </row>
    <row r="405" spans="1:14" ht="13" x14ac:dyDescent="0.15">
      <c r="A405" s="15"/>
      <c r="D405" s="10"/>
      <c r="E405" s="10"/>
      <c r="F405" s="14"/>
      <c r="G405" s="14"/>
      <c r="H405" s="14"/>
      <c r="I405" s="14"/>
      <c r="J405" s="14"/>
      <c r="K405" s="14"/>
      <c r="L405" s="14"/>
      <c r="M405" s="15"/>
      <c r="N405" s="12"/>
    </row>
    <row r="406" spans="1:14" ht="13" x14ac:dyDescent="0.15">
      <c r="A406" s="15"/>
      <c r="D406" s="10"/>
      <c r="E406" s="10"/>
      <c r="F406" s="14"/>
      <c r="G406" s="14"/>
      <c r="H406" s="14"/>
      <c r="I406" s="14"/>
      <c r="J406" s="14"/>
      <c r="K406" s="14"/>
      <c r="L406" s="14"/>
      <c r="M406" s="15"/>
      <c r="N406" s="12"/>
    </row>
    <row r="407" spans="1:14" ht="13" x14ac:dyDescent="0.15">
      <c r="A407" s="15"/>
      <c r="D407" s="10"/>
      <c r="E407" s="10"/>
      <c r="F407" s="14"/>
      <c r="G407" s="14"/>
      <c r="H407" s="14"/>
      <c r="I407" s="14"/>
      <c r="J407" s="14"/>
      <c r="K407" s="14"/>
      <c r="L407" s="14"/>
      <c r="M407" s="15"/>
      <c r="N407" s="12"/>
    </row>
    <row r="408" spans="1:14" ht="13" x14ac:dyDescent="0.15">
      <c r="A408" s="15"/>
      <c r="D408" s="10"/>
      <c r="E408" s="10"/>
      <c r="F408" s="14"/>
      <c r="G408" s="14"/>
      <c r="H408" s="14"/>
      <c r="I408" s="14"/>
      <c r="J408" s="14"/>
      <c r="K408" s="14"/>
      <c r="L408" s="14"/>
      <c r="M408" s="15"/>
      <c r="N408" s="12"/>
    </row>
    <row r="409" spans="1:14" ht="13" x14ac:dyDescent="0.15">
      <c r="A409" s="15"/>
      <c r="D409" s="10"/>
      <c r="E409" s="10"/>
      <c r="F409" s="14"/>
      <c r="G409" s="14"/>
      <c r="H409" s="14"/>
      <c r="I409" s="14"/>
      <c r="J409" s="14"/>
      <c r="K409" s="14"/>
      <c r="L409" s="14"/>
      <c r="M409" s="15"/>
      <c r="N409" s="12"/>
    </row>
    <row r="410" spans="1:14" ht="13" x14ac:dyDescent="0.15">
      <c r="A410" s="15"/>
      <c r="D410" s="10"/>
      <c r="E410" s="10"/>
      <c r="F410" s="14"/>
      <c r="G410" s="14"/>
      <c r="H410" s="14"/>
      <c r="I410" s="14"/>
      <c r="J410" s="14"/>
      <c r="K410" s="14"/>
      <c r="L410" s="14"/>
      <c r="M410" s="15"/>
      <c r="N410" s="12"/>
    </row>
    <row r="411" spans="1:14" ht="13" x14ac:dyDescent="0.15">
      <c r="A411" s="15"/>
      <c r="D411" s="10"/>
      <c r="E411" s="10"/>
      <c r="F411" s="14"/>
      <c r="G411" s="14"/>
      <c r="H411" s="14"/>
      <c r="I411" s="14"/>
      <c r="J411" s="14"/>
      <c r="K411" s="14"/>
      <c r="L411" s="14"/>
      <c r="M411" s="15"/>
      <c r="N411" s="12"/>
    </row>
    <row r="412" spans="1:14" ht="13" x14ac:dyDescent="0.15">
      <c r="A412" s="15"/>
      <c r="D412" s="10"/>
      <c r="E412" s="10"/>
      <c r="F412" s="14"/>
      <c r="G412" s="14"/>
      <c r="H412" s="14"/>
      <c r="I412" s="14"/>
      <c r="J412" s="14"/>
      <c r="K412" s="14"/>
      <c r="L412" s="14"/>
      <c r="M412" s="15"/>
      <c r="N412" s="12"/>
    </row>
    <row r="413" spans="1:14" ht="13" x14ac:dyDescent="0.15">
      <c r="A413" s="15"/>
      <c r="D413" s="10"/>
      <c r="E413" s="10"/>
      <c r="F413" s="14"/>
      <c r="G413" s="14"/>
      <c r="H413" s="14"/>
      <c r="I413" s="14"/>
      <c r="J413" s="14"/>
      <c r="K413" s="14"/>
      <c r="L413" s="14"/>
      <c r="M413" s="15"/>
      <c r="N413" s="12"/>
    </row>
    <row r="414" spans="1:14" ht="13" x14ac:dyDescent="0.15">
      <c r="A414" s="15"/>
      <c r="D414" s="10"/>
      <c r="E414" s="10"/>
      <c r="F414" s="14"/>
      <c r="G414" s="14"/>
      <c r="H414" s="14"/>
      <c r="I414" s="14"/>
      <c r="J414" s="14"/>
      <c r="K414" s="14"/>
      <c r="L414" s="14"/>
      <c r="M414" s="15"/>
      <c r="N414" s="12"/>
    </row>
    <row r="415" spans="1:14" ht="13" x14ac:dyDescent="0.15">
      <c r="A415" s="15"/>
      <c r="D415" s="10"/>
      <c r="E415" s="10"/>
      <c r="F415" s="14"/>
      <c r="G415" s="14"/>
      <c r="H415" s="14"/>
      <c r="I415" s="14"/>
      <c r="J415" s="14"/>
      <c r="K415" s="14"/>
      <c r="L415" s="14"/>
      <c r="M415" s="15"/>
      <c r="N415" s="12"/>
    </row>
    <row r="416" spans="1:14" ht="13" x14ac:dyDescent="0.15">
      <c r="A416" s="15"/>
      <c r="D416" s="10"/>
      <c r="E416" s="10"/>
      <c r="F416" s="14"/>
      <c r="G416" s="14"/>
      <c r="H416" s="14"/>
      <c r="I416" s="14"/>
      <c r="J416" s="14"/>
      <c r="K416" s="14"/>
      <c r="L416" s="14"/>
      <c r="M416" s="15"/>
      <c r="N416" s="12"/>
    </row>
    <row r="417" spans="1:14" ht="13" x14ac:dyDescent="0.15">
      <c r="A417" s="15"/>
      <c r="D417" s="10"/>
      <c r="E417" s="10"/>
      <c r="F417" s="14"/>
      <c r="G417" s="14"/>
      <c r="H417" s="14"/>
      <c r="I417" s="14"/>
      <c r="J417" s="14"/>
      <c r="K417" s="14"/>
      <c r="L417" s="14"/>
      <c r="M417" s="15"/>
      <c r="N417" s="12"/>
    </row>
    <row r="418" spans="1:14" ht="13" x14ac:dyDescent="0.15">
      <c r="A418" s="15"/>
      <c r="D418" s="10"/>
      <c r="E418" s="10"/>
      <c r="F418" s="14"/>
      <c r="G418" s="14"/>
      <c r="H418" s="14"/>
      <c r="I418" s="14"/>
      <c r="J418" s="14"/>
      <c r="K418" s="14"/>
      <c r="L418" s="14"/>
      <c r="M418" s="15"/>
      <c r="N418" s="12"/>
    </row>
    <row r="419" spans="1:14" ht="13" x14ac:dyDescent="0.15">
      <c r="A419" s="15"/>
      <c r="D419" s="10"/>
      <c r="E419" s="10"/>
      <c r="F419" s="14"/>
      <c r="G419" s="14"/>
      <c r="H419" s="14"/>
      <c r="I419" s="14"/>
      <c r="J419" s="14"/>
      <c r="K419" s="14"/>
      <c r="L419" s="14"/>
      <c r="M419" s="15"/>
      <c r="N419" s="12"/>
    </row>
    <row r="420" spans="1:14" ht="13" x14ac:dyDescent="0.15">
      <c r="A420" s="15"/>
      <c r="D420" s="10"/>
      <c r="E420" s="10"/>
      <c r="F420" s="14"/>
      <c r="G420" s="14"/>
      <c r="H420" s="14"/>
      <c r="I420" s="14"/>
      <c r="J420" s="14"/>
      <c r="K420" s="14"/>
      <c r="L420" s="14"/>
      <c r="M420" s="15"/>
      <c r="N420" s="12"/>
    </row>
    <row r="421" spans="1:14" ht="13" x14ac:dyDescent="0.15">
      <c r="A421" s="15"/>
      <c r="D421" s="10"/>
      <c r="E421" s="10"/>
      <c r="F421" s="14"/>
      <c r="G421" s="14"/>
      <c r="H421" s="14"/>
      <c r="I421" s="14"/>
      <c r="J421" s="14"/>
      <c r="K421" s="14"/>
      <c r="L421" s="14"/>
      <c r="M421" s="15"/>
      <c r="N421" s="12"/>
    </row>
    <row r="422" spans="1:14" ht="13" x14ac:dyDescent="0.15">
      <c r="A422" s="15"/>
      <c r="D422" s="10"/>
      <c r="E422" s="10"/>
      <c r="F422" s="14"/>
      <c r="G422" s="14"/>
      <c r="H422" s="14"/>
      <c r="I422" s="14"/>
      <c r="J422" s="14"/>
      <c r="K422" s="14"/>
      <c r="L422" s="14"/>
      <c r="M422" s="15"/>
      <c r="N422" s="12"/>
    </row>
    <row r="423" spans="1:14" ht="13" x14ac:dyDescent="0.15">
      <c r="A423" s="15"/>
      <c r="D423" s="10"/>
      <c r="E423" s="10"/>
      <c r="F423" s="14"/>
      <c r="G423" s="14"/>
      <c r="H423" s="14"/>
      <c r="I423" s="14"/>
      <c r="J423" s="14"/>
      <c r="K423" s="14"/>
      <c r="L423" s="14"/>
      <c r="M423" s="15"/>
      <c r="N423" s="12"/>
    </row>
    <row r="424" spans="1:14" ht="13" x14ac:dyDescent="0.15">
      <c r="A424" s="15"/>
      <c r="D424" s="10"/>
      <c r="E424" s="10"/>
      <c r="F424" s="14"/>
      <c r="G424" s="14"/>
      <c r="H424" s="14"/>
      <c r="I424" s="14"/>
      <c r="J424" s="14"/>
      <c r="K424" s="14"/>
      <c r="L424" s="14"/>
      <c r="M424" s="15"/>
      <c r="N424" s="12"/>
    </row>
    <row r="425" spans="1:14" ht="13" x14ac:dyDescent="0.15">
      <c r="A425" s="15"/>
      <c r="D425" s="10"/>
      <c r="E425" s="10"/>
      <c r="F425" s="14"/>
      <c r="G425" s="14"/>
      <c r="H425" s="14"/>
      <c r="I425" s="14"/>
      <c r="J425" s="14"/>
      <c r="K425" s="14"/>
      <c r="L425" s="14"/>
      <c r="M425" s="15"/>
      <c r="N425" s="12"/>
    </row>
    <row r="426" spans="1:14" ht="13" x14ac:dyDescent="0.15">
      <c r="A426" s="15"/>
      <c r="D426" s="10"/>
      <c r="E426" s="10"/>
      <c r="F426" s="14"/>
      <c r="G426" s="14"/>
      <c r="H426" s="14"/>
      <c r="I426" s="14"/>
      <c r="J426" s="14"/>
      <c r="K426" s="14"/>
      <c r="L426" s="14"/>
      <c r="M426" s="15"/>
      <c r="N426" s="12"/>
    </row>
    <row r="427" spans="1:14" ht="13" x14ac:dyDescent="0.15">
      <c r="A427" s="15"/>
      <c r="D427" s="10"/>
      <c r="E427" s="10"/>
      <c r="F427" s="14"/>
      <c r="G427" s="14"/>
      <c r="H427" s="14"/>
      <c r="I427" s="14"/>
      <c r="J427" s="14"/>
      <c r="K427" s="14"/>
      <c r="L427" s="14"/>
      <c r="M427" s="15"/>
      <c r="N427" s="12"/>
    </row>
    <row r="428" spans="1:14" ht="13" x14ac:dyDescent="0.15">
      <c r="A428" s="15"/>
      <c r="D428" s="10"/>
      <c r="E428" s="10"/>
      <c r="F428" s="14"/>
      <c r="G428" s="14"/>
      <c r="H428" s="14"/>
      <c r="I428" s="14"/>
      <c r="J428" s="14"/>
      <c r="K428" s="14"/>
      <c r="L428" s="14"/>
      <c r="M428" s="15"/>
      <c r="N428" s="12"/>
    </row>
    <row r="429" spans="1:14" ht="13" x14ac:dyDescent="0.15">
      <c r="A429" s="15"/>
      <c r="D429" s="10"/>
      <c r="E429" s="10"/>
      <c r="F429" s="14"/>
      <c r="G429" s="14"/>
      <c r="H429" s="14"/>
      <c r="I429" s="14"/>
      <c r="J429" s="14"/>
      <c r="K429" s="14"/>
      <c r="L429" s="14"/>
      <c r="M429" s="15"/>
      <c r="N429" s="12"/>
    </row>
    <row r="430" spans="1:14" ht="13" x14ac:dyDescent="0.15">
      <c r="A430" s="15"/>
      <c r="D430" s="10"/>
      <c r="E430" s="10"/>
      <c r="F430" s="14"/>
      <c r="G430" s="14"/>
      <c r="H430" s="14"/>
      <c r="I430" s="14"/>
      <c r="J430" s="14"/>
      <c r="K430" s="14"/>
      <c r="L430" s="14"/>
      <c r="M430" s="15"/>
      <c r="N430" s="12"/>
    </row>
    <row r="431" spans="1:14" ht="13" x14ac:dyDescent="0.15">
      <c r="A431" s="15"/>
      <c r="D431" s="10"/>
      <c r="E431" s="10"/>
      <c r="F431" s="14"/>
      <c r="G431" s="14"/>
      <c r="H431" s="14"/>
      <c r="I431" s="14"/>
      <c r="J431" s="14"/>
      <c r="K431" s="14"/>
      <c r="L431" s="14"/>
      <c r="M431" s="15"/>
      <c r="N431" s="12"/>
    </row>
    <row r="432" spans="1:14" ht="13" x14ac:dyDescent="0.15">
      <c r="A432" s="15"/>
      <c r="D432" s="10"/>
      <c r="E432" s="10"/>
      <c r="F432" s="14"/>
      <c r="G432" s="14"/>
      <c r="H432" s="14"/>
      <c r="I432" s="14"/>
      <c r="J432" s="14"/>
      <c r="K432" s="14"/>
      <c r="L432" s="14"/>
      <c r="M432" s="15"/>
      <c r="N432" s="12"/>
    </row>
    <row r="433" spans="1:14" ht="13" x14ac:dyDescent="0.15">
      <c r="A433" s="15"/>
      <c r="D433" s="10"/>
      <c r="E433" s="10"/>
      <c r="F433" s="14"/>
      <c r="G433" s="14"/>
      <c r="H433" s="14"/>
      <c r="I433" s="14"/>
      <c r="J433" s="14"/>
      <c r="K433" s="14"/>
      <c r="L433" s="14"/>
      <c r="M433" s="15"/>
      <c r="N433" s="12"/>
    </row>
    <row r="434" spans="1:14" ht="13" x14ac:dyDescent="0.15">
      <c r="A434" s="15"/>
      <c r="D434" s="10"/>
      <c r="E434" s="10"/>
      <c r="F434" s="14"/>
      <c r="G434" s="14"/>
      <c r="H434" s="14"/>
      <c r="I434" s="14"/>
      <c r="J434" s="14"/>
      <c r="K434" s="14"/>
      <c r="L434" s="14"/>
      <c r="M434" s="15"/>
      <c r="N434" s="12"/>
    </row>
    <row r="435" spans="1:14" ht="13" x14ac:dyDescent="0.15">
      <c r="A435" s="15"/>
      <c r="D435" s="10"/>
      <c r="E435" s="10"/>
      <c r="F435" s="14"/>
      <c r="G435" s="14"/>
      <c r="H435" s="14"/>
      <c r="I435" s="14"/>
      <c r="J435" s="14"/>
      <c r="K435" s="14"/>
      <c r="L435" s="14"/>
      <c r="M435" s="15"/>
      <c r="N435" s="12"/>
    </row>
    <row r="436" spans="1:14" ht="13" x14ac:dyDescent="0.15">
      <c r="A436" s="15"/>
      <c r="D436" s="10"/>
      <c r="E436" s="10"/>
      <c r="F436" s="14"/>
      <c r="G436" s="14"/>
      <c r="H436" s="14"/>
      <c r="I436" s="14"/>
      <c r="J436" s="14"/>
      <c r="K436" s="14"/>
      <c r="L436" s="14"/>
      <c r="M436" s="15"/>
      <c r="N436" s="12"/>
    </row>
    <row r="437" spans="1:14" ht="13" x14ac:dyDescent="0.15">
      <c r="A437" s="15"/>
      <c r="D437" s="10"/>
      <c r="E437" s="10"/>
      <c r="F437" s="14"/>
      <c r="G437" s="14"/>
      <c r="H437" s="14"/>
      <c r="I437" s="14"/>
      <c r="J437" s="14"/>
      <c r="K437" s="14"/>
      <c r="L437" s="14"/>
      <c r="M437" s="15"/>
      <c r="N437" s="12"/>
    </row>
    <row r="438" spans="1:14" ht="13" x14ac:dyDescent="0.15">
      <c r="A438" s="15"/>
      <c r="D438" s="10"/>
      <c r="E438" s="10"/>
      <c r="F438" s="14"/>
      <c r="G438" s="14"/>
      <c r="H438" s="14"/>
      <c r="I438" s="14"/>
      <c r="J438" s="14"/>
      <c r="K438" s="14"/>
      <c r="L438" s="14"/>
      <c r="M438" s="15"/>
      <c r="N438" s="12"/>
    </row>
    <row r="439" spans="1:14" ht="13" x14ac:dyDescent="0.15">
      <c r="A439" s="15"/>
      <c r="D439" s="10"/>
      <c r="E439" s="10"/>
      <c r="F439" s="14"/>
      <c r="G439" s="14"/>
      <c r="H439" s="14"/>
      <c r="I439" s="14"/>
      <c r="J439" s="14"/>
      <c r="K439" s="14"/>
      <c r="L439" s="14"/>
      <c r="M439" s="15"/>
      <c r="N439" s="12"/>
    </row>
    <row r="440" spans="1:14" ht="13" x14ac:dyDescent="0.15">
      <c r="A440" s="15"/>
      <c r="D440" s="10"/>
      <c r="E440" s="10"/>
      <c r="F440" s="14"/>
      <c r="G440" s="14"/>
      <c r="H440" s="14"/>
      <c r="I440" s="14"/>
      <c r="J440" s="14"/>
      <c r="K440" s="14"/>
      <c r="L440" s="14"/>
      <c r="M440" s="15"/>
      <c r="N440" s="12"/>
    </row>
    <row r="441" spans="1:14" ht="13" x14ac:dyDescent="0.15">
      <c r="A441" s="15"/>
      <c r="D441" s="10"/>
      <c r="E441" s="10"/>
      <c r="F441" s="14"/>
      <c r="G441" s="14"/>
      <c r="H441" s="14"/>
      <c r="I441" s="14"/>
      <c r="J441" s="14"/>
      <c r="K441" s="14"/>
      <c r="L441" s="14"/>
      <c r="M441" s="15"/>
      <c r="N441" s="12"/>
    </row>
    <row r="442" spans="1:14" ht="13" x14ac:dyDescent="0.15">
      <c r="A442" s="15"/>
      <c r="D442" s="10"/>
      <c r="E442" s="10"/>
      <c r="F442" s="14"/>
      <c r="G442" s="14"/>
      <c r="H442" s="14"/>
      <c r="I442" s="14"/>
      <c r="J442" s="14"/>
      <c r="K442" s="14"/>
      <c r="L442" s="14"/>
      <c r="M442" s="15"/>
      <c r="N442" s="12"/>
    </row>
    <row r="443" spans="1:14" ht="13" x14ac:dyDescent="0.15">
      <c r="A443" s="15"/>
      <c r="D443" s="10"/>
      <c r="E443" s="10"/>
      <c r="F443" s="14"/>
      <c r="G443" s="14"/>
      <c r="H443" s="14"/>
      <c r="I443" s="14"/>
      <c r="J443" s="14"/>
      <c r="K443" s="14"/>
      <c r="L443" s="14"/>
      <c r="M443" s="15"/>
      <c r="N443" s="12"/>
    </row>
    <row r="444" spans="1:14" ht="13" x14ac:dyDescent="0.15">
      <c r="A444" s="15"/>
      <c r="D444" s="10"/>
      <c r="E444" s="10"/>
      <c r="F444" s="14"/>
      <c r="G444" s="14"/>
      <c r="H444" s="14"/>
      <c r="I444" s="14"/>
      <c r="J444" s="14"/>
      <c r="K444" s="14"/>
      <c r="L444" s="14"/>
      <c r="M444" s="15"/>
      <c r="N444" s="12"/>
    </row>
    <row r="445" spans="1:14" ht="13" x14ac:dyDescent="0.15">
      <c r="A445" s="15"/>
      <c r="D445" s="10"/>
      <c r="E445" s="10"/>
      <c r="F445" s="14"/>
      <c r="G445" s="14"/>
      <c r="H445" s="14"/>
      <c r="I445" s="14"/>
      <c r="J445" s="14"/>
      <c r="K445" s="14"/>
      <c r="L445" s="14"/>
      <c r="M445" s="15"/>
      <c r="N445" s="12"/>
    </row>
    <row r="446" spans="1:14" ht="13" x14ac:dyDescent="0.15">
      <c r="A446" s="15"/>
      <c r="D446" s="10"/>
      <c r="E446" s="10"/>
      <c r="F446" s="14"/>
      <c r="G446" s="14"/>
      <c r="H446" s="14"/>
      <c r="I446" s="14"/>
      <c r="J446" s="14"/>
      <c r="K446" s="14"/>
      <c r="L446" s="14"/>
      <c r="M446" s="15"/>
      <c r="N446" s="12"/>
    </row>
    <row r="447" spans="1:14" ht="13" x14ac:dyDescent="0.15">
      <c r="A447" s="15"/>
      <c r="D447" s="10"/>
      <c r="E447" s="10"/>
      <c r="F447" s="14"/>
      <c r="G447" s="14"/>
      <c r="H447" s="14"/>
      <c r="I447" s="14"/>
      <c r="J447" s="14"/>
      <c r="K447" s="14"/>
      <c r="L447" s="14"/>
      <c r="M447" s="15"/>
      <c r="N447" s="12"/>
    </row>
    <row r="448" spans="1:14" ht="13" x14ac:dyDescent="0.15">
      <c r="A448" s="15"/>
      <c r="D448" s="10"/>
      <c r="E448" s="10"/>
      <c r="F448" s="14"/>
      <c r="G448" s="14"/>
      <c r="H448" s="14"/>
      <c r="I448" s="14"/>
      <c r="J448" s="14"/>
      <c r="K448" s="14"/>
      <c r="L448" s="14"/>
      <c r="M448" s="15"/>
      <c r="N448" s="12"/>
    </row>
    <row r="449" spans="1:14" ht="13" x14ac:dyDescent="0.15">
      <c r="A449" s="15"/>
      <c r="D449" s="10"/>
      <c r="E449" s="10"/>
      <c r="F449" s="14"/>
      <c r="G449" s="14"/>
      <c r="H449" s="14"/>
      <c r="I449" s="14"/>
      <c r="J449" s="14"/>
      <c r="K449" s="14"/>
      <c r="L449" s="14"/>
      <c r="M449" s="15"/>
      <c r="N449" s="12"/>
    </row>
    <row r="450" spans="1:14" ht="13" x14ac:dyDescent="0.15">
      <c r="A450" s="15"/>
      <c r="D450" s="10"/>
      <c r="E450" s="10"/>
      <c r="F450" s="14"/>
      <c r="G450" s="14"/>
      <c r="H450" s="14"/>
      <c r="I450" s="14"/>
      <c r="J450" s="14"/>
      <c r="K450" s="14"/>
      <c r="L450" s="14"/>
      <c r="M450" s="15"/>
      <c r="N450" s="12"/>
    </row>
    <row r="451" spans="1:14" ht="13" x14ac:dyDescent="0.15">
      <c r="A451" s="15"/>
      <c r="D451" s="10"/>
      <c r="E451" s="10"/>
      <c r="F451" s="14"/>
      <c r="G451" s="14"/>
      <c r="H451" s="14"/>
      <c r="I451" s="14"/>
      <c r="J451" s="14"/>
      <c r="K451" s="14"/>
      <c r="L451" s="14"/>
      <c r="M451" s="15"/>
      <c r="N451" s="12"/>
    </row>
    <row r="452" spans="1:14" ht="13" x14ac:dyDescent="0.15">
      <c r="A452" s="15"/>
      <c r="D452" s="10"/>
      <c r="E452" s="10"/>
      <c r="F452" s="14"/>
      <c r="G452" s="14"/>
      <c r="H452" s="14"/>
      <c r="I452" s="14"/>
      <c r="J452" s="14"/>
      <c r="K452" s="14"/>
      <c r="L452" s="14"/>
      <c r="M452" s="15"/>
      <c r="N452" s="12"/>
    </row>
    <row r="453" spans="1:14" ht="13" x14ac:dyDescent="0.15">
      <c r="A453" s="15"/>
      <c r="D453" s="10"/>
      <c r="E453" s="10"/>
      <c r="F453" s="14"/>
      <c r="G453" s="14"/>
      <c r="H453" s="14"/>
      <c r="I453" s="14"/>
      <c r="J453" s="14"/>
      <c r="K453" s="14"/>
      <c r="L453" s="14"/>
      <c r="M453" s="15"/>
      <c r="N453" s="12"/>
    </row>
    <row r="454" spans="1:14" ht="13" x14ac:dyDescent="0.15">
      <c r="A454" s="15"/>
      <c r="D454" s="10"/>
      <c r="E454" s="10"/>
      <c r="F454" s="14"/>
      <c r="G454" s="14"/>
      <c r="H454" s="14"/>
      <c r="I454" s="14"/>
      <c r="J454" s="14"/>
      <c r="K454" s="14"/>
      <c r="L454" s="14"/>
      <c r="M454" s="15"/>
      <c r="N454" s="12"/>
    </row>
    <row r="455" spans="1:14" ht="13" x14ac:dyDescent="0.15">
      <c r="A455" s="15"/>
      <c r="D455" s="10"/>
      <c r="E455" s="10"/>
      <c r="F455" s="14"/>
      <c r="G455" s="14"/>
      <c r="H455" s="14"/>
      <c r="I455" s="14"/>
      <c r="J455" s="14"/>
      <c r="K455" s="14"/>
      <c r="L455" s="14"/>
      <c r="M455" s="15"/>
      <c r="N455" s="12"/>
    </row>
    <row r="456" spans="1:14" ht="13" x14ac:dyDescent="0.15">
      <c r="A456" s="15"/>
      <c r="D456" s="10"/>
      <c r="E456" s="10"/>
      <c r="F456" s="14"/>
      <c r="G456" s="14"/>
      <c r="H456" s="14"/>
      <c r="I456" s="14"/>
      <c r="J456" s="14"/>
      <c r="K456" s="14"/>
      <c r="L456" s="14"/>
      <c r="M456" s="15"/>
      <c r="N456" s="12"/>
    </row>
    <row r="457" spans="1:14" ht="13" x14ac:dyDescent="0.15">
      <c r="A457" s="15"/>
      <c r="D457" s="10"/>
      <c r="E457" s="10"/>
      <c r="F457" s="14"/>
      <c r="G457" s="14"/>
      <c r="H457" s="14"/>
      <c r="I457" s="14"/>
      <c r="J457" s="14"/>
      <c r="K457" s="14"/>
      <c r="L457" s="14"/>
      <c r="M457" s="15"/>
      <c r="N457" s="12"/>
    </row>
    <row r="458" spans="1:14" ht="13" x14ac:dyDescent="0.15">
      <c r="A458" s="15"/>
      <c r="D458" s="10"/>
      <c r="E458" s="10"/>
      <c r="F458" s="14"/>
      <c r="G458" s="14"/>
      <c r="H458" s="14"/>
      <c r="I458" s="14"/>
      <c r="J458" s="14"/>
      <c r="K458" s="14"/>
      <c r="L458" s="14"/>
      <c r="M458" s="15"/>
      <c r="N458" s="12"/>
    </row>
    <row r="459" spans="1:14" ht="13" x14ac:dyDescent="0.15">
      <c r="A459" s="15"/>
      <c r="D459" s="10"/>
      <c r="E459" s="10"/>
      <c r="F459" s="14"/>
      <c r="G459" s="14"/>
      <c r="H459" s="14"/>
      <c r="I459" s="14"/>
      <c r="J459" s="14"/>
      <c r="K459" s="14"/>
      <c r="L459" s="14"/>
      <c r="M459" s="15"/>
      <c r="N459" s="12"/>
    </row>
    <row r="460" spans="1:14" ht="13" x14ac:dyDescent="0.15">
      <c r="A460" s="15"/>
      <c r="D460" s="10"/>
      <c r="E460" s="10"/>
      <c r="F460" s="14"/>
      <c r="G460" s="14"/>
      <c r="H460" s="14"/>
      <c r="I460" s="14"/>
      <c r="J460" s="14"/>
      <c r="K460" s="14"/>
      <c r="L460" s="14"/>
      <c r="M460" s="15"/>
      <c r="N460" s="12"/>
    </row>
    <row r="461" spans="1:14" ht="13" x14ac:dyDescent="0.15">
      <c r="A461" s="15"/>
      <c r="D461" s="10"/>
      <c r="E461" s="10"/>
      <c r="F461" s="14"/>
      <c r="G461" s="14"/>
      <c r="H461" s="14"/>
      <c r="I461" s="14"/>
      <c r="J461" s="14"/>
      <c r="K461" s="14"/>
      <c r="L461" s="14"/>
      <c r="M461" s="15"/>
      <c r="N461" s="12"/>
    </row>
    <row r="462" spans="1:14" ht="13" x14ac:dyDescent="0.15">
      <c r="A462" s="15"/>
      <c r="D462" s="10"/>
      <c r="E462" s="10"/>
      <c r="F462" s="14"/>
      <c r="G462" s="14"/>
      <c r="H462" s="14"/>
      <c r="I462" s="14"/>
      <c r="J462" s="14"/>
      <c r="K462" s="14"/>
      <c r="L462" s="14"/>
      <c r="M462" s="15"/>
      <c r="N462" s="12"/>
    </row>
    <row r="463" spans="1:14" ht="13" x14ac:dyDescent="0.15">
      <c r="A463" s="15"/>
      <c r="D463" s="10"/>
      <c r="E463" s="10"/>
      <c r="F463" s="14"/>
      <c r="G463" s="14"/>
      <c r="H463" s="14"/>
      <c r="I463" s="14"/>
      <c r="J463" s="14"/>
      <c r="K463" s="14"/>
      <c r="L463" s="14"/>
      <c r="M463" s="15"/>
      <c r="N463" s="12"/>
    </row>
    <row r="464" spans="1:14" ht="13" x14ac:dyDescent="0.15">
      <c r="A464" s="15"/>
      <c r="D464" s="10"/>
      <c r="E464" s="10"/>
      <c r="F464" s="14"/>
      <c r="G464" s="14"/>
      <c r="H464" s="14"/>
      <c r="I464" s="14"/>
      <c r="J464" s="14"/>
      <c r="K464" s="14"/>
      <c r="L464" s="14"/>
      <c r="M464" s="15"/>
      <c r="N464" s="12"/>
    </row>
    <row r="465" spans="1:14" ht="13" x14ac:dyDescent="0.15">
      <c r="A465" s="15"/>
      <c r="D465" s="10"/>
      <c r="E465" s="10"/>
      <c r="F465" s="14"/>
      <c r="G465" s="14"/>
      <c r="H465" s="14"/>
      <c r="I465" s="14"/>
      <c r="J465" s="14"/>
      <c r="K465" s="14"/>
      <c r="L465" s="14"/>
      <c r="M465" s="15"/>
      <c r="N465" s="12"/>
    </row>
    <row r="466" spans="1:14" ht="13" x14ac:dyDescent="0.15">
      <c r="A466" s="15"/>
      <c r="D466" s="10"/>
      <c r="E466" s="10"/>
      <c r="F466" s="14"/>
      <c r="G466" s="14"/>
      <c r="H466" s="14"/>
      <c r="I466" s="14"/>
      <c r="J466" s="14"/>
      <c r="K466" s="14"/>
      <c r="L466" s="14"/>
      <c r="M466" s="15"/>
      <c r="N466" s="12"/>
    </row>
    <row r="467" spans="1:14" ht="13" x14ac:dyDescent="0.15">
      <c r="A467" s="15"/>
      <c r="D467" s="10"/>
      <c r="E467" s="10"/>
      <c r="F467" s="14"/>
      <c r="G467" s="14"/>
      <c r="H467" s="14"/>
      <c r="I467" s="14"/>
      <c r="J467" s="14"/>
      <c r="K467" s="14"/>
      <c r="L467" s="14"/>
      <c r="M467" s="15"/>
      <c r="N467" s="12"/>
    </row>
    <row r="468" spans="1:14" ht="13" x14ac:dyDescent="0.15">
      <c r="A468" s="15"/>
      <c r="D468" s="10"/>
      <c r="E468" s="10"/>
      <c r="F468" s="14"/>
      <c r="G468" s="14"/>
      <c r="H468" s="14"/>
      <c r="I468" s="14"/>
      <c r="J468" s="14"/>
      <c r="K468" s="14"/>
      <c r="L468" s="14"/>
      <c r="M468" s="15"/>
      <c r="N468" s="12"/>
    </row>
    <row r="469" spans="1:14" ht="13" x14ac:dyDescent="0.15">
      <c r="A469" s="15"/>
      <c r="D469" s="10"/>
      <c r="E469" s="10"/>
      <c r="F469" s="14"/>
      <c r="G469" s="14"/>
      <c r="H469" s="14"/>
      <c r="I469" s="14"/>
      <c r="J469" s="14"/>
      <c r="K469" s="14"/>
      <c r="L469" s="14"/>
      <c r="M469" s="15"/>
      <c r="N469" s="12"/>
    </row>
    <row r="470" spans="1:14" ht="13" x14ac:dyDescent="0.15">
      <c r="A470" s="15"/>
      <c r="D470" s="10"/>
      <c r="E470" s="10"/>
      <c r="F470" s="14"/>
      <c r="G470" s="14"/>
      <c r="H470" s="14"/>
      <c r="I470" s="14"/>
      <c r="J470" s="14"/>
      <c r="K470" s="14"/>
      <c r="L470" s="14"/>
      <c r="M470" s="15"/>
      <c r="N470" s="12"/>
    </row>
    <row r="471" spans="1:14" ht="13" x14ac:dyDescent="0.15">
      <c r="A471" s="15"/>
      <c r="D471" s="10"/>
      <c r="E471" s="10"/>
      <c r="F471" s="14"/>
      <c r="G471" s="14"/>
      <c r="H471" s="14"/>
      <c r="I471" s="14"/>
      <c r="J471" s="14"/>
      <c r="K471" s="14"/>
      <c r="L471" s="14"/>
      <c r="M471" s="15"/>
      <c r="N471" s="12"/>
    </row>
    <row r="472" spans="1:14" ht="13" x14ac:dyDescent="0.15">
      <c r="A472" s="15"/>
      <c r="D472" s="10"/>
      <c r="E472" s="10"/>
      <c r="F472" s="14"/>
      <c r="G472" s="14"/>
      <c r="H472" s="14"/>
      <c r="I472" s="14"/>
      <c r="J472" s="14"/>
      <c r="K472" s="14"/>
      <c r="L472" s="14"/>
      <c r="M472" s="15"/>
      <c r="N472" s="12"/>
    </row>
    <row r="473" spans="1:14" ht="13" x14ac:dyDescent="0.15">
      <c r="A473" s="15"/>
      <c r="D473" s="10"/>
      <c r="E473" s="10"/>
      <c r="F473" s="14"/>
      <c r="G473" s="14"/>
      <c r="H473" s="14"/>
      <c r="I473" s="14"/>
      <c r="J473" s="14"/>
      <c r="K473" s="14"/>
      <c r="L473" s="14"/>
      <c r="M473" s="15"/>
      <c r="N473" s="12"/>
    </row>
    <row r="474" spans="1:14" ht="13" x14ac:dyDescent="0.15">
      <c r="A474" s="15"/>
      <c r="D474" s="10"/>
      <c r="E474" s="10"/>
      <c r="F474" s="14"/>
      <c r="G474" s="14"/>
      <c r="H474" s="14"/>
      <c r="I474" s="14"/>
      <c r="J474" s="14"/>
      <c r="K474" s="14"/>
      <c r="L474" s="14"/>
      <c r="M474" s="15"/>
      <c r="N474" s="12"/>
    </row>
    <row r="475" spans="1:14" ht="13" x14ac:dyDescent="0.15">
      <c r="A475" s="15"/>
      <c r="D475" s="10"/>
      <c r="E475" s="10"/>
      <c r="F475" s="14"/>
      <c r="G475" s="14"/>
      <c r="H475" s="14"/>
      <c r="I475" s="14"/>
      <c r="J475" s="14"/>
      <c r="K475" s="14"/>
      <c r="L475" s="14"/>
      <c r="M475" s="15"/>
      <c r="N475" s="12"/>
    </row>
    <row r="476" spans="1:14" ht="13" x14ac:dyDescent="0.15">
      <c r="A476" s="15"/>
      <c r="D476" s="10"/>
      <c r="E476" s="10"/>
      <c r="F476" s="14"/>
      <c r="G476" s="14"/>
      <c r="H476" s="14"/>
      <c r="I476" s="14"/>
      <c r="J476" s="14"/>
      <c r="K476" s="14"/>
      <c r="L476" s="14"/>
      <c r="M476" s="15"/>
      <c r="N476" s="12"/>
    </row>
    <row r="477" spans="1:14" ht="13" x14ac:dyDescent="0.15">
      <c r="A477" s="15"/>
      <c r="D477" s="10"/>
      <c r="E477" s="10"/>
      <c r="F477" s="14"/>
      <c r="G477" s="14"/>
      <c r="H477" s="14"/>
      <c r="I477" s="14"/>
      <c r="J477" s="14"/>
      <c r="K477" s="14"/>
      <c r="L477" s="14"/>
      <c r="M477" s="15"/>
      <c r="N477" s="12"/>
    </row>
    <row r="478" spans="1:14" ht="13" x14ac:dyDescent="0.15">
      <c r="A478" s="15"/>
      <c r="D478" s="10"/>
      <c r="E478" s="10"/>
      <c r="F478" s="14"/>
      <c r="G478" s="14"/>
      <c r="H478" s="14"/>
      <c r="I478" s="14"/>
      <c r="J478" s="14"/>
      <c r="K478" s="14"/>
      <c r="L478" s="14"/>
      <c r="M478" s="15"/>
      <c r="N478" s="12"/>
    </row>
    <row r="479" spans="1:14" ht="13" x14ac:dyDescent="0.15">
      <c r="A479" s="15"/>
      <c r="D479" s="10"/>
      <c r="E479" s="10"/>
      <c r="F479" s="14"/>
      <c r="G479" s="14"/>
      <c r="H479" s="14"/>
      <c r="I479" s="14"/>
      <c r="J479" s="14"/>
      <c r="K479" s="14"/>
      <c r="L479" s="14"/>
      <c r="M479" s="15"/>
      <c r="N479" s="12"/>
    </row>
    <row r="480" spans="1:14" ht="13" x14ac:dyDescent="0.15">
      <c r="A480" s="15"/>
      <c r="D480" s="10"/>
      <c r="E480" s="10"/>
      <c r="F480" s="14"/>
      <c r="G480" s="14"/>
      <c r="H480" s="14"/>
      <c r="I480" s="14"/>
      <c r="J480" s="14"/>
      <c r="K480" s="14"/>
      <c r="L480" s="14"/>
      <c r="M480" s="15"/>
      <c r="N480" s="12"/>
    </row>
    <row r="481" spans="1:14" ht="13" x14ac:dyDescent="0.15">
      <c r="A481" s="15"/>
      <c r="D481" s="10"/>
      <c r="E481" s="10"/>
      <c r="F481" s="14"/>
      <c r="G481" s="14"/>
      <c r="H481" s="14"/>
      <c r="I481" s="14"/>
      <c r="J481" s="14"/>
      <c r="K481" s="14"/>
      <c r="L481" s="14"/>
      <c r="M481" s="15"/>
      <c r="N481" s="12"/>
    </row>
    <row r="482" spans="1:14" ht="13" x14ac:dyDescent="0.15">
      <c r="A482" s="15"/>
      <c r="D482" s="10"/>
      <c r="E482" s="10"/>
      <c r="F482" s="14"/>
      <c r="G482" s="14"/>
      <c r="H482" s="14"/>
      <c r="I482" s="14"/>
      <c r="J482" s="14"/>
      <c r="K482" s="14"/>
      <c r="L482" s="14"/>
      <c r="M482" s="15"/>
      <c r="N482" s="12"/>
    </row>
    <row r="483" spans="1:14" ht="13" x14ac:dyDescent="0.15">
      <c r="A483" s="15"/>
      <c r="D483" s="10"/>
      <c r="E483" s="10"/>
      <c r="F483" s="14"/>
      <c r="G483" s="14"/>
      <c r="H483" s="14"/>
      <c r="I483" s="14"/>
      <c r="J483" s="14"/>
      <c r="K483" s="14"/>
      <c r="L483" s="14"/>
      <c r="M483" s="15"/>
      <c r="N483" s="12"/>
    </row>
    <row r="484" spans="1:14" ht="13" x14ac:dyDescent="0.15">
      <c r="A484" s="15"/>
      <c r="D484" s="10"/>
      <c r="E484" s="10"/>
      <c r="F484" s="14"/>
      <c r="G484" s="14"/>
      <c r="H484" s="14"/>
      <c r="I484" s="14"/>
      <c r="J484" s="14"/>
      <c r="K484" s="14"/>
      <c r="L484" s="14"/>
      <c r="M484" s="15"/>
      <c r="N484" s="12"/>
    </row>
    <row r="485" spans="1:14" ht="13" x14ac:dyDescent="0.15">
      <c r="A485" s="15"/>
      <c r="D485" s="10"/>
      <c r="E485" s="10"/>
      <c r="F485" s="14"/>
      <c r="G485" s="14"/>
      <c r="H485" s="14"/>
      <c r="I485" s="14"/>
      <c r="J485" s="14"/>
      <c r="K485" s="14"/>
      <c r="L485" s="14"/>
      <c r="M485" s="15"/>
      <c r="N485" s="12"/>
    </row>
    <row r="486" spans="1:14" ht="13" x14ac:dyDescent="0.15">
      <c r="A486" s="15"/>
      <c r="D486" s="10"/>
      <c r="E486" s="10"/>
      <c r="F486" s="14"/>
      <c r="G486" s="14"/>
      <c r="H486" s="14"/>
      <c r="I486" s="14"/>
      <c r="J486" s="14"/>
      <c r="K486" s="14"/>
      <c r="L486" s="14"/>
      <c r="M486" s="15"/>
      <c r="N486" s="12"/>
    </row>
    <row r="487" spans="1:14" ht="13" x14ac:dyDescent="0.15">
      <c r="A487" s="15"/>
      <c r="D487" s="10"/>
      <c r="E487" s="10"/>
      <c r="F487" s="14"/>
      <c r="G487" s="14"/>
      <c r="H487" s="14"/>
      <c r="I487" s="14"/>
      <c r="J487" s="14"/>
      <c r="K487" s="14"/>
      <c r="L487" s="14"/>
      <c r="M487" s="15"/>
      <c r="N487" s="12"/>
    </row>
    <row r="488" spans="1:14" ht="13" x14ac:dyDescent="0.15">
      <c r="A488" s="15"/>
      <c r="D488" s="10"/>
      <c r="E488" s="10"/>
      <c r="F488" s="14"/>
      <c r="G488" s="14"/>
      <c r="H488" s="14"/>
      <c r="I488" s="14"/>
      <c r="J488" s="14"/>
      <c r="K488" s="14"/>
      <c r="L488" s="14"/>
      <c r="M488" s="15"/>
      <c r="N488" s="12"/>
    </row>
    <row r="489" spans="1:14" ht="13" x14ac:dyDescent="0.15">
      <c r="A489" s="15"/>
      <c r="D489" s="10"/>
      <c r="E489" s="10"/>
      <c r="F489" s="14"/>
      <c r="G489" s="14"/>
      <c r="H489" s="14"/>
      <c r="I489" s="14"/>
      <c r="J489" s="14"/>
      <c r="K489" s="14"/>
      <c r="L489" s="14"/>
      <c r="M489" s="15"/>
      <c r="N489" s="12"/>
    </row>
    <row r="490" spans="1:14" ht="13" x14ac:dyDescent="0.15">
      <c r="A490" s="15"/>
      <c r="D490" s="10"/>
      <c r="E490" s="10"/>
      <c r="F490" s="14"/>
      <c r="G490" s="14"/>
      <c r="H490" s="14"/>
      <c r="I490" s="14"/>
      <c r="J490" s="14"/>
      <c r="K490" s="14"/>
      <c r="L490" s="14"/>
      <c r="M490" s="15"/>
      <c r="N490" s="12"/>
    </row>
    <row r="491" spans="1:14" ht="13" x14ac:dyDescent="0.15">
      <c r="A491" s="15"/>
      <c r="D491" s="10"/>
      <c r="E491" s="10"/>
      <c r="F491" s="14"/>
      <c r="G491" s="14"/>
      <c r="H491" s="14"/>
      <c r="I491" s="14"/>
      <c r="J491" s="14"/>
      <c r="K491" s="14"/>
      <c r="L491" s="14"/>
      <c r="M491" s="15"/>
      <c r="N491" s="12"/>
    </row>
    <row r="492" spans="1:14" ht="13" x14ac:dyDescent="0.15">
      <c r="A492" s="15"/>
      <c r="D492" s="10"/>
      <c r="E492" s="10"/>
      <c r="F492" s="14"/>
      <c r="G492" s="14"/>
      <c r="H492" s="14"/>
      <c r="I492" s="14"/>
      <c r="J492" s="14"/>
      <c r="K492" s="14"/>
      <c r="L492" s="14"/>
      <c r="M492" s="15"/>
      <c r="N492" s="12"/>
    </row>
    <row r="493" spans="1:14" ht="13" x14ac:dyDescent="0.15">
      <c r="A493" s="15"/>
      <c r="D493" s="10"/>
      <c r="E493" s="10"/>
      <c r="F493" s="14"/>
      <c r="G493" s="14"/>
      <c r="H493" s="14"/>
      <c r="I493" s="14"/>
      <c r="J493" s="14"/>
      <c r="K493" s="14"/>
      <c r="L493" s="14"/>
      <c r="M493" s="15"/>
      <c r="N493" s="12"/>
    </row>
    <row r="494" spans="1:14" ht="13" x14ac:dyDescent="0.15">
      <c r="A494" s="15"/>
      <c r="D494" s="10"/>
      <c r="E494" s="10"/>
      <c r="F494" s="14"/>
      <c r="G494" s="14"/>
      <c r="H494" s="14"/>
      <c r="I494" s="14"/>
      <c r="J494" s="14"/>
      <c r="K494" s="14"/>
      <c r="L494" s="14"/>
      <c r="M494" s="15"/>
      <c r="N494" s="12"/>
    </row>
    <row r="495" spans="1:14" ht="13" x14ac:dyDescent="0.15">
      <c r="A495" s="15"/>
      <c r="D495" s="10"/>
      <c r="E495" s="10"/>
      <c r="F495" s="14"/>
      <c r="G495" s="14"/>
      <c r="H495" s="14"/>
      <c r="I495" s="14"/>
      <c r="J495" s="14"/>
      <c r="K495" s="14"/>
      <c r="L495" s="14"/>
      <c r="M495" s="15"/>
      <c r="N495" s="12"/>
    </row>
    <row r="496" spans="1:14" ht="13" x14ac:dyDescent="0.15">
      <c r="A496" s="15"/>
      <c r="D496" s="10"/>
      <c r="E496" s="10"/>
      <c r="F496" s="14"/>
      <c r="G496" s="14"/>
      <c r="H496" s="14"/>
      <c r="I496" s="14"/>
      <c r="J496" s="14"/>
      <c r="K496" s="14"/>
      <c r="L496" s="14"/>
      <c r="M496" s="15"/>
      <c r="N496" s="12"/>
    </row>
    <row r="497" spans="1:14" ht="13" x14ac:dyDescent="0.15">
      <c r="A497" s="15"/>
      <c r="D497" s="10"/>
      <c r="E497" s="10"/>
      <c r="F497" s="14"/>
      <c r="G497" s="14"/>
      <c r="H497" s="14"/>
      <c r="I497" s="14"/>
      <c r="J497" s="14"/>
      <c r="K497" s="14"/>
      <c r="L497" s="14"/>
      <c r="M497" s="15"/>
      <c r="N497" s="12"/>
    </row>
    <row r="498" spans="1:14" ht="13" x14ac:dyDescent="0.15">
      <c r="A498" s="15"/>
      <c r="D498" s="10"/>
      <c r="E498" s="10"/>
      <c r="F498" s="14"/>
      <c r="G498" s="14"/>
      <c r="H498" s="14"/>
      <c r="I498" s="14"/>
      <c r="J498" s="14"/>
      <c r="K498" s="14"/>
      <c r="L498" s="14"/>
      <c r="M498" s="15"/>
      <c r="N498" s="12"/>
    </row>
    <row r="499" spans="1:14" ht="13" x14ac:dyDescent="0.15">
      <c r="A499" s="15"/>
      <c r="D499" s="10"/>
      <c r="E499" s="10"/>
      <c r="F499" s="14"/>
      <c r="G499" s="14"/>
      <c r="H499" s="14"/>
      <c r="I499" s="14"/>
      <c r="J499" s="14"/>
      <c r="K499" s="14"/>
      <c r="L499" s="14"/>
      <c r="M499" s="15"/>
      <c r="N499" s="12"/>
    </row>
    <row r="500" spans="1:14" ht="13" x14ac:dyDescent="0.15">
      <c r="A500" s="15"/>
      <c r="D500" s="10"/>
      <c r="E500" s="10"/>
      <c r="F500" s="14"/>
      <c r="G500" s="14"/>
      <c r="H500" s="14"/>
      <c r="I500" s="14"/>
      <c r="J500" s="14"/>
      <c r="K500" s="14"/>
      <c r="L500" s="14"/>
      <c r="M500" s="15"/>
      <c r="N500" s="12"/>
    </row>
    <row r="501" spans="1:14" ht="13" x14ac:dyDescent="0.15">
      <c r="A501" s="15"/>
      <c r="D501" s="10"/>
      <c r="E501" s="10"/>
      <c r="F501" s="14"/>
      <c r="G501" s="14"/>
      <c r="H501" s="14"/>
      <c r="I501" s="14"/>
      <c r="J501" s="14"/>
      <c r="K501" s="14"/>
      <c r="L501" s="14"/>
      <c r="M501" s="15"/>
      <c r="N501" s="12"/>
    </row>
    <row r="502" spans="1:14" ht="13" x14ac:dyDescent="0.15">
      <c r="A502" s="15"/>
      <c r="D502" s="10"/>
      <c r="E502" s="10"/>
      <c r="F502" s="14"/>
      <c r="G502" s="14"/>
      <c r="H502" s="14"/>
      <c r="I502" s="14"/>
      <c r="J502" s="14"/>
      <c r="K502" s="14"/>
      <c r="L502" s="14"/>
      <c r="M502" s="15"/>
      <c r="N502" s="12"/>
    </row>
    <row r="503" spans="1:14" ht="13" x14ac:dyDescent="0.15">
      <c r="A503" s="15"/>
      <c r="D503" s="10"/>
      <c r="E503" s="10"/>
      <c r="F503" s="14"/>
      <c r="G503" s="14"/>
      <c r="H503" s="14"/>
      <c r="I503" s="14"/>
      <c r="J503" s="14"/>
      <c r="K503" s="14"/>
      <c r="L503" s="14"/>
      <c r="M503" s="15"/>
      <c r="N503" s="12"/>
    </row>
    <row r="504" spans="1:14" ht="13" x14ac:dyDescent="0.15">
      <c r="A504" s="15"/>
      <c r="D504" s="10"/>
      <c r="E504" s="10"/>
      <c r="F504" s="14"/>
      <c r="G504" s="14"/>
      <c r="H504" s="14"/>
      <c r="I504" s="14"/>
      <c r="J504" s="14"/>
      <c r="K504" s="14"/>
      <c r="L504" s="14"/>
      <c r="M504" s="15"/>
      <c r="N504" s="12"/>
    </row>
    <row r="505" spans="1:14" ht="13" x14ac:dyDescent="0.15">
      <c r="A505" s="15"/>
      <c r="D505" s="10"/>
      <c r="E505" s="10"/>
      <c r="F505" s="14"/>
      <c r="G505" s="14"/>
      <c r="H505" s="14"/>
      <c r="I505" s="14"/>
      <c r="J505" s="14"/>
      <c r="K505" s="14"/>
      <c r="L505" s="14"/>
      <c r="M505" s="15"/>
      <c r="N505" s="12"/>
    </row>
    <row r="506" spans="1:14" ht="13" x14ac:dyDescent="0.15">
      <c r="A506" s="15"/>
      <c r="D506" s="10"/>
      <c r="E506" s="10"/>
      <c r="F506" s="14"/>
      <c r="G506" s="14"/>
      <c r="H506" s="14"/>
      <c r="I506" s="14"/>
      <c r="J506" s="14"/>
      <c r="K506" s="14"/>
      <c r="L506" s="14"/>
      <c r="M506" s="15"/>
      <c r="N506" s="12"/>
    </row>
    <row r="507" spans="1:14" ht="13" x14ac:dyDescent="0.15">
      <c r="A507" s="15"/>
      <c r="D507" s="10"/>
      <c r="E507" s="10"/>
      <c r="F507" s="14"/>
      <c r="G507" s="14"/>
      <c r="H507" s="14"/>
      <c r="I507" s="14"/>
      <c r="J507" s="14"/>
      <c r="K507" s="14"/>
      <c r="L507" s="14"/>
      <c r="M507" s="15"/>
      <c r="N507" s="12"/>
    </row>
    <row r="508" spans="1:14" ht="13" x14ac:dyDescent="0.15">
      <c r="A508" s="15"/>
      <c r="D508" s="10"/>
      <c r="E508" s="10"/>
      <c r="F508" s="14"/>
      <c r="G508" s="14"/>
      <c r="H508" s="14"/>
      <c r="I508" s="14"/>
      <c r="J508" s="14"/>
      <c r="K508" s="14"/>
      <c r="L508" s="14"/>
      <c r="M508" s="15"/>
      <c r="N508" s="12"/>
    </row>
    <row r="509" spans="1:14" ht="13" x14ac:dyDescent="0.15">
      <c r="A509" s="15"/>
      <c r="D509" s="10"/>
      <c r="E509" s="10"/>
      <c r="F509" s="14"/>
      <c r="G509" s="14"/>
      <c r="H509" s="14"/>
      <c r="I509" s="14"/>
      <c r="J509" s="14"/>
      <c r="K509" s="14"/>
      <c r="L509" s="14"/>
      <c r="M509" s="15"/>
      <c r="N509" s="12"/>
    </row>
    <row r="510" spans="1:14" ht="13" x14ac:dyDescent="0.15">
      <c r="A510" s="15"/>
      <c r="D510" s="10"/>
      <c r="E510" s="10"/>
      <c r="F510" s="14"/>
      <c r="G510" s="14"/>
      <c r="H510" s="14"/>
      <c r="I510" s="14"/>
      <c r="J510" s="14"/>
      <c r="K510" s="14"/>
      <c r="L510" s="14"/>
      <c r="M510" s="15"/>
      <c r="N510" s="12"/>
    </row>
    <row r="511" spans="1:14" ht="13" x14ac:dyDescent="0.15">
      <c r="A511" s="15"/>
      <c r="D511" s="10"/>
      <c r="E511" s="10"/>
      <c r="F511" s="14"/>
      <c r="G511" s="14"/>
      <c r="H511" s="14"/>
      <c r="I511" s="14"/>
      <c r="J511" s="14"/>
      <c r="K511" s="14"/>
      <c r="L511" s="14"/>
      <c r="M511" s="15"/>
      <c r="N511" s="12"/>
    </row>
    <row r="512" spans="1:14" ht="13" x14ac:dyDescent="0.15">
      <c r="A512" s="15"/>
      <c r="D512" s="10"/>
      <c r="E512" s="10"/>
      <c r="F512" s="14"/>
      <c r="G512" s="14"/>
      <c r="H512" s="14"/>
      <c r="I512" s="14"/>
      <c r="J512" s="14"/>
      <c r="K512" s="14"/>
      <c r="L512" s="14"/>
      <c r="M512" s="15"/>
      <c r="N512" s="12"/>
    </row>
    <row r="513" spans="1:14" ht="13" x14ac:dyDescent="0.15">
      <c r="A513" s="15"/>
      <c r="D513" s="10"/>
      <c r="E513" s="10"/>
      <c r="F513" s="14"/>
      <c r="G513" s="14"/>
      <c r="H513" s="14"/>
      <c r="I513" s="14"/>
      <c r="J513" s="14"/>
      <c r="K513" s="14"/>
      <c r="L513" s="14"/>
      <c r="M513" s="15"/>
      <c r="N513" s="12"/>
    </row>
    <row r="514" spans="1:14" ht="13" x14ac:dyDescent="0.15">
      <c r="A514" s="15"/>
      <c r="D514" s="10"/>
      <c r="E514" s="10"/>
      <c r="F514" s="14"/>
      <c r="G514" s="14"/>
      <c r="H514" s="14"/>
      <c r="I514" s="14"/>
      <c r="J514" s="14"/>
      <c r="K514" s="14"/>
      <c r="L514" s="14"/>
      <c r="M514" s="15"/>
      <c r="N514" s="12"/>
    </row>
    <row r="515" spans="1:14" ht="13" x14ac:dyDescent="0.15">
      <c r="A515" s="15"/>
      <c r="D515" s="10"/>
      <c r="E515" s="10"/>
      <c r="F515" s="14"/>
      <c r="G515" s="14"/>
      <c r="H515" s="14"/>
      <c r="I515" s="14"/>
      <c r="J515" s="14"/>
      <c r="K515" s="14"/>
      <c r="L515" s="14"/>
      <c r="M515" s="15"/>
      <c r="N515" s="12"/>
    </row>
    <row r="516" spans="1:14" ht="13" x14ac:dyDescent="0.15">
      <c r="A516" s="15"/>
      <c r="D516" s="10"/>
      <c r="E516" s="10"/>
      <c r="F516" s="14"/>
      <c r="G516" s="14"/>
      <c r="H516" s="14"/>
      <c r="I516" s="14"/>
      <c r="J516" s="14"/>
      <c r="K516" s="14"/>
      <c r="L516" s="14"/>
      <c r="M516" s="15"/>
      <c r="N516" s="12"/>
    </row>
    <row r="517" spans="1:14" ht="13" x14ac:dyDescent="0.15">
      <c r="A517" s="15"/>
      <c r="D517" s="10"/>
      <c r="E517" s="10"/>
      <c r="F517" s="14"/>
      <c r="G517" s="14"/>
      <c r="H517" s="14"/>
      <c r="I517" s="14"/>
      <c r="J517" s="14"/>
      <c r="K517" s="14"/>
      <c r="L517" s="14"/>
      <c r="M517" s="15"/>
      <c r="N517" s="12"/>
    </row>
    <row r="518" spans="1:14" ht="13" x14ac:dyDescent="0.15">
      <c r="A518" s="15"/>
      <c r="D518" s="10"/>
      <c r="E518" s="10"/>
      <c r="F518" s="14"/>
      <c r="G518" s="14"/>
      <c r="H518" s="14"/>
      <c r="I518" s="14"/>
      <c r="J518" s="14"/>
      <c r="K518" s="14"/>
      <c r="L518" s="14"/>
      <c r="M518" s="15"/>
      <c r="N518" s="12"/>
    </row>
    <row r="519" spans="1:14" ht="13" x14ac:dyDescent="0.15">
      <c r="A519" s="15"/>
      <c r="D519" s="10"/>
      <c r="E519" s="10"/>
      <c r="F519" s="14"/>
      <c r="G519" s="14"/>
      <c r="H519" s="14"/>
      <c r="I519" s="14"/>
      <c r="J519" s="14"/>
      <c r="K519" s="14"/>
      <c r="L519" s="14"/>
      <c r="M519" s="15"/>
      <c r="N519" s="12"/>
    </row>
    <row r="520" spans="1:14" ht="13" x14ac:dyDescent="0.15">
      <c r="A520" s="15"/>
      <c r="D520" s="10"/>
      <c r="E520" s="10"/>
      <c r="F520" s="14"/>
      <c r="G520" s="14"/>
      <c r="H520" s="14"/>
      <c r="I520" s="14"/>
      <c r="J520" s="14"/>
      <c r="K520" s="14"/>
      <c r="L520" s="14"/>
      <c r="M520" s="15"/>
      <c r="N520" s="12"/>
    </row>
    <row r="521" spans="1:14" ht="13" x14ac:dyDescent="0.15">
      <c r="A521" s="15"/>
      <c r="D521" s="10"/>
      <c r="E521" s="10"/>
      <c r="F521" s="14"/>
      <c r="G521" s="14"/>
      <c r="H521" s="14"/>
      <c r="I521" s="14"/>
      <c r="J521" s="14"/>
      <c r="K521" s="14"/>
      <c r="L521" s="14"/>
      <c r="M521" s="15"/>
      <c r="N521" s="12"/>
    </row>
    <row r="522" spans="1:14" ht="13" x14ac:dyDescent="0.15">
      <c r="A522" s="15"/>
      <c r="D522" s="10"/>
      <c r="E522" s="10"/>
      <c r="F522" s="14"/>
      <c r="G522" s="14"/>
      <c r="H522" s="14"/>
      <c r="I522" s="14"/>
      <c r="J522" s="14"/>
      <c r="K522" s="14"/>
      <c r="L522" s="14"/>
      <c r="M522" s="15"/>
      <c r="N522" s="12"/>
    </row>
    <row r="523" spans="1:14" ht="13" x14ac:dyDescent="0.15">
      <c r="A523" s="15"/>
      <c r="D523" s="10"/>
      <c r="E523" s="10"/>
      <c r="F523" s="14"/>
      <c r="G523" s="14"/>
      <c r="H523" s="14"/>
      <c r="I523" s="14"/>
      <c r="J523" s="14"/>
      <c r="K523" s="14"/>
      <c r="L523" s="14"/>
      <c r="M523" s="15"/>
      <c r="N523" s="12"/>
    </row>
    <row r="524" spans="1:14" ht="13" x14ac:dyDescent="0.15">
      <c r="A524" s="15"/>
      <c r="D524" s="10"/>
      <c r="E524" s="10"/>
      <c r="F524" s="14"/>
      <c r="G524" s="14"/>
      <c r="H524" s="14"/>
      <c r="I524" s="14"/>
      <c r="J524" s="14"/>
      <c r="K524" s="14"/>
      <c r="L524" s="14"/>
      <c r="M524" s="15"/>
      <c r="N524" s="12"/>
    </row>
    <row r="525" spans="1:14" ht="13" x14ac:dyDescent="0.15">
      <c r="A525" s="15"/>
      <c r="D525" s="10"/>
      <c r="E525" s="10"/>
      <c r="F525" s="14"/>
      <c r="G525" s="14"/>
      <c r="H525" s="14"/>
      <c r="I525" s="14"/>
      <c r="J525" s="14"/>
      <c r="K525" s="14"/>
      <c r="L525" s="14"/>
      <c r="M525" s="15"/>
      <c r="N525" s="12"/>
    </row>
    <row r="526" spans="1:14" ht="13" x14ac:dyDescent="0.15">
      <c r="A526" s="15"/>
      <c r="D526" s="10"/>
      <c r="E526" s="10"/>
      <c r="F526" s="14"/>
      <c r="G526" s="14"/>
      <c r="H526" s="14"/>
      <c r="I526" s="14"/>
      <c r="J526" s="14"/>
      <c r="K526" s="14"/>
      <c r="L526" s="14"/>
      <c r="M526" s="15"/>
      <c r="N526" s="12"/>
    </row>
    <row r="527" spans="1:14" ht="13" x14ac:dyDescent="0.15">
      <c r="A527" s="15"/>
      <c r="D527" s="10"/>
      <c r="E527" s="10"/>
      <c r="F527" s="14"/>
      <c r="G527" s="14"/>
      <c r="H527" s="14"/>
      <c r="I527" s="14"/>
      <c r="J527" s="14"/>
      <c r="K527" s="14"/>
      <c r="L527" s="14"/>
      <c r="M527" s="15"/>
      <c r="N527" s="12"/>
    </row>
    <row r="528" spans="1:14" ht="13" x14ac:dyDescent="0.15">
      <c r="A528" s="15"/>
      <c r="D528" s="10"/>
      <c r="E528" s="10"/>
      <c r="F528" s="14"/>
      <c r="G528" s="14"/>
      <c r="H528" s="14"/>
      <c r="I528" s="14"/>
      <c r="J528" s="14"/>
      <c r="K528" s="14"/>
      <c r="L528" s="14"/>
      <c r="M528" s="15"/>
      <c r="N528" s="12"/>
    </row>
    <row r="529" spans="1:14" ht="13" x14ac:dyDescent="0.15">
      <c r="A529" s="15"/>
      <c r="D529" s="10"/>
      <c r="E529" s="10"/>
      <c r="F529" s="14"/>
      <c r="G529" s="14"/>
      <c r="H529" s="14"/>
      <c r="I529" s="14"/>
      <c r="J529" s="14"/>
      <c r="K529" s="14"/>
      <c r="L529" s="14"/>
      <c r="M529" s="15"/>
      <c r="N529" s="12"/>
    </row>
    <row r="530" spans="1:14" ht="13" x14ac:dyDescent="0.15">
      <c r="A530" s="15"/>
      <c r="D530" s="10"/>
      <c r="E530" s="10"/>
      <c r="F530" s="14"/>
      <c r="G530" s="14"/>
      <c r="H530" s="14"/>
      <c r="I530" s="14"/>
      <c r="J530" s="14"/>
      <c r="K530" s="14"/>
      <c r="L530" s="14"/>
      <c r="M530" s="15"/>
      <c r="N530" s="12"/>
    </row>
    <row r="531" spans="1:14" ht="13" x14ac:dyDescent="0.15">
      <c r="A531" s="15"/>
      <c r="D531" s="10"/>
      <c r="E531" s="10"/>
      <c r="F531" s="14"/>
      <c r="G531" s="14"/>
      <c r="H531" s="14"/>
      <c r="I531" s="14"/>
      <c r="J531" s="14"/>
      <c r="K531" s="14"/>
      <c r="L531" s="14"/>
      <c r="M531" s="15"/>
      <c r="N531" s="12"/>
    </row>
    <row r="532" spans="1:14" ht="13" x14ac:dyDescent="0.15">
      <c r="A532" s="15"/>
      <c r="D532" s="10"/>
      <c r="E532" s="10"/>
      <c r="F532" s="14"/>
      <c r="G532" s="14"/>
      <c r="H532" s="14"/>
      <c r="I532" s="14"/>
      <c r="J532" s="14"/>
      <c r="K532" s="14"/>
      <c r="L532" s="14"/>
      <c r="M532" s="15"/>
      <c r="N532" s="12"/>
    </row>
    <row r="533" spans="1:14" ht="13" x14ac:dyDescent="0.15">
      <c r="A533" s="15"/>
      <c r="D533" s="10"/>
      <c r="E533" s="10"/>
      <c r="F533" s="14"/>
      <c r="G533" s="14"/>
      <c r="H533" s="14"/>
      <c r="I533" s="14"/>
      <c r="J533" s="14"/>
      <c r="K533" s="14"/>
      <c r="L533" s="14"/>
      <c r="M533" s="15"/>
      <c r="N533" s="12"/>
    </row>
    <row r="534" spans="1:14" ht="13" x14ac:dyDescent="0.15">
      <c r="A534" s="15"/>
      <c r="D534" s="10"/>
      <c r="E534" s="10"/>
      <c r="F534" s="14"/>
      <c r="G534" s="14"/>
      <c r="H534" s="14"/>
      <c r="I534" s="14"/>
      <c r="J534" s="14"/>
      <c r="K534" s="14"/>
      <c r="L534" s="14"/>
      <c r="M534" s="15"/>
      <c r="N534" s="12"/>
    </row>
    <row r="535" spans="1:14" ht="13" x14ac:dyDescent="0.15">
      <c r="A535" s="15"/>
      <c r="D535" s="10"/>
      <c r="E535" s="10"/>
      <c r="F535" s="14"/>
      <c r="G535" s="14"/>
      <c r="H535" s="14"/>
      <c r="I535" s="14"/>
      <c r="J535" s="14"/>
      <c r="K535" s="14"/>
      <c r="L535" s="14"/>
      <c r="M535" s="15"/>
      <c r="N535" s="12"/>
    </row>
    <row r="536" spans="1:14" ht="13" x14ac:dyDescent="0.15">
      <c r="A536" s="15"/>
      <c r="D536" s="10"/>
      <c r="E536" s="10"/>
      <c r="F536" s="14"/>
      <c r="G536" s="14"/>
      <c r="H536" s="14"/>
      <c r="I536" s="14"/>
      <c r="J536" s="14"/>
      <c r="K536" s="14"/>
      <c r="L536" s="14"/>
      <c r="M536" s="15"/>
      <c r="N536" s="12"/>
    </row>
    <row r="537" spans="1:14" ht="13" x14ac:dyDescent="0.15">
      <c r="A537" s="15"/>
      <c r="D537" s="10"/>
      <c r="E537" s="10"/>
      <c r="F537" s="14"/>
      <c r="G537" s="14"/>
      <c r="H537" s="14"/>
      <c r="I537" s="14"/>
      <c r="J537" s="14"/>
      <c r="K537" s="14"/>
      <c r="L537" s="14"/>
      <c r="M537" s="15"/>
      <c r="N537" s="12"/>
    </row>
    <row r="538" spans="1:14" ht="13" x14ac:dyDescent="0.15">
      <c r="A538" s="15"/>
      <c r="D538" s="10"/>
      <c r="E538" s="10"/>
      <c r="F538" s="14"/>
      <c r="G538" s="14"/>
      <c r="H538" s="14"/>
      <c r="I538" s="14"/>
      <c r="J538" s="14"/>
      <c r="K538" s="14"/>
      <c r="L538" s="14"/>
      <c r="M538" s="15"/>
      <c r="N538" s="12"/>
    </row>
    <row r="539" spans="1:14" ht="13" x14ac:dyDescent="0.15">
      <c r="A539" s="15"/>
      <c r="D539" s="10"/>
      <c r="E539" s="10"/>
      <c r="F539" s="14"/>
      <c r="G539" s="14"/>
      <c r="H539" s="14"/>
      <c r="I539" s="14"/>
      <c r="J539" s="14"/>
      <c r="K539" s="14"/>
      <c r="L539" s="14"/>
      <c r="M539" s="15"/>
      <c r="N539" s="12"/>
    </row>
    <row r="540" spans="1:14" ht="13" x14ac:dyDescent="0.15">
      <c r="A540" s="15"/>
      <c r="D540" s="10"/>
      <c r="E540" s="10"/>
      <c r="F540" s="14"/>
      <c r="G540" s="14"/>
      <c r="H540" s="14"/>
      <c r="I540" s="14"/>
      <c r="J540" s="14"/>
      <c r="K540" s="14"/>
      <c r="L540" s="14"/>
      <c r="M540" s="15"/>
      <c r="N540" s="12"/>
    </row>
    <row r="541" spans="1:14" ht="13" x14ac:dyDescent="0.15">
      <c r="A541" s="15"/>
      <c r="D541" s="10"/>
      <c r="E541" s="10"/>
      <c r="F541" s="14"/>
      <c r="G541" s="14"/>
      <c r="H541" s="14"/>
      <c r="I541" s="14"/>
      <c r="J541" s="14"/>
      <c r="K541" s="14"/>
      <c r="L541" s="14"/>
      <c r="M541" s="15"/>
      <c r="N541" s="12"/>
    </row>
    <row r="542" spans="1:14" ht="13" x14ac:dyDescent="0.15">
      <c r="A542" s="15"/>
      <c r="D542" s="10"/>
      <c r="E542" s="10"/>
      <c r="F542" s="14"/>
      <c r="G542" s="14"/>
      <c r="H542" s="14"/>
      <c r="I542" s="14"/>
      <c r="J542" s="14"/>
      <c r="K542" s="14"/>
      <c r="L542" s="14"/>
      <c r="M542" s="15"/>
      <c r="N542" s="12"/>
    </row>
    <row r="543" spans="1:14" ht="13" x14ac:dyDescent="0.15">
      <c r="A543" s="15"/>
      <c r="D543" s="10"/>
      <c r="E543" s="10"/>
      <c r="F543" s="14"/>
      <c r="G543" s="14"/>
      <c r="H543" s="14"/>
      <c r="I543" s="14"/>
      <c r="J543" s="14"/>
      <c r="K543" s="14"/>
      <c r="L543" s="14"/>
      <c r="M543" s="15"/>
      <c r="N543" s="12"/>
    </row>
    <row r="544" spans="1:14" ht="13" x14ac:dyDescent="0.15">
      <c r="A544" s="15"/>
      <c r="D544" s="10"/>
      <c r="E544" s="10"/>
      <c r="F544" s="14"/>
      <c r="G544" s="14"/>
      <c r="H544" s="14"/>
      <c r="I544" s="14"/>
      <c r="J544" s="14"/>
      <c r="K544" s="14"/>
      <c r="L544" s="14"/>
      <c r="M544" s="15"/>
      <c r="N544" s="12"/>
    </row>
    <row r="545" spans="1:14" ht="13" x14ac:dyDescent="0.15">
      <c r="A545" s="15"/>
      <c r="D545" s="10"/>
      <c r="E545" s="10"/>
      <c r="F545" s="14"/>
      <c r="G545" s="14"/>
      <c r="H545" s="14"/>
      <c r="I545" s="14"/>
      <c r="J545" s="14"/>
      <c r="K545" s="14"/>
      <c r="L545" s="14"/>
      <c r="M545" s="15"/>
      <c r="N545" s="12"/>
    </row>
    <row r="546" spans="1:14" ht="13" x14ac:dyDescent="0.15">
      <c r="A546" s="15"/>
      <c r="D546" s="10"/>
      <c r="E546" s="10"/>
      <c r="F546" s="14"/>
      <c r="G546" s="14"/>
      <c r="H546" s="14"/>
      <c r="I546" s="14"/>
      <c r="J546" s="14"/>
      <c r="K546" s="14"/>
      <c r="L546" s="14"/>
      <c r="M546" s="15"/>
      <c r="N546" s="12"/>
    </row>
    <row r="547" spans="1:14" ht="13" x14ac:dyDescent="0.15">
      <c r="A547" s="15"/>
      <c r="D547" s="10"/>
      <c r="E547" s="10"/>
      <c r="F547" s="14"/>
      <c r="G547" s="14"/>
      <c r="H547" s="14"/>
      <c r="I547" s="14"/>
      <c r="J547" s="14"/>
      <c r="K547" s="14"/>
      <c r="L547" s="14"/>
      <c r="M547" s="15"/>
      <c r="N547" s="12"/>
    </row>
    <row r="548" spans="1:14" ht="13" x14ac:dyDescent="0.15">
      <c r="A548" s="15"/>
      <c r="D548" s="10"/>
      <c r="E548" s="10"/>
      <c r="F548" s="14"/>
      <c r="G548" s="14"/>
      <c r="H548" s="14"/>
      <c r="I548" s="14"/>
      <c r="J548" s="14"/>
      <c r="K548" s="14"/>
      <c r="L548" s="14"/>
      <c r="M548" s="15"/>
      <c r="N548" s="12"/>
    </row>
    <row r="549" spans="1:14" ht="13" x14ac:dyDescent="0.15">
      <c r="A549" s="15"/>
      <c r="D549" s="10"/>
      <c r="E549" s="10"/>
      <c r="F549" s="14"/>
      <c r="G549" s="14"/>
      <c r="H549" s="14"/>
      <c r="I549" s="14"/>
      <c r="J549" s="14"/>
      <c r="K549" s="14"/>
      <c r="L549" s="14"/>
      <c r="M549" s="15"/>
      <c r="N549" s="12"/>
    </row>
    <row r="550" spans="1:14" ht="13" x14ac:dyDescent="0.15">
      <c r="A550" s="15"/>
      <c r="D550" s="10"/>
      <c r="E550" s="10"/>
      <c r="F550" s="14"/>
      <c r="G550" s="14"/>
      <c r="H550" s="14"/>
      <c r="I550" s="14"/>
      <c r="J550" s="14"/>
      <c r="K550" s="14"/>
      <c r="L550" s="14"/>
      <c r="M550" s="15"/>
      <c r="N550" s="12"/>
    </row>
    <row r="551" spans="1:14" ht="13" x14ac:dyDescent="0.15">
      <c r="A551" s="15"/>
      <c r="D551" s="10"/>
      <c r="E551" s="10"/>
      <c r="F551" s="14"/>
      <c r="G551" s="14"/>
      <c r="H551" s="14"/>
      <c r="I551" s="14"/>
      <c r="J551" s="14"/>
      <c r="K551" s="14"/>
      <c r="L551" s="14"/>
      <c r="M551" s="15"/>
      <c r="N551" s="12"/>
    </row>
    <row r="552" spans="1:14" ht="13" x14ac:dyDescent="0.15">
      <c r="A552" s="15"/>
      <c r="D552" s="10"/>
      <c r="E552" s="10"/>
      <c r="F552" s="14"/>
      <c r="G552" s="14"/>
      <c r="H552" s="14"/>
      <c r="I552" s="14"/>
      <c r="J552" s="14"/>
      <c r="K552" s="14"/>
      <c r="L552" s="14"/>
      <c r="M552" s="15"/>
      <c r="N552" s="12"/>
    </row>
    <row r="553" spans="1:14" ht="13" x14ac:dyDescent="0.15">
      <c r="A553" s="15"/>
      <c r="D553" s="10"/>
      <c r="E553" s="10"/>
      <c r="F553" s="14"/>
      <c r="G553" s="14"/>
      <c r="H553" s="14"/>
      <c r="I553" s="14"/>
      <c r="J553" s="14"/>
      <c r="K553" s="14"/>
      <c r="L553" s="14"/>
      <c r="M553" s="15"/>
      <c r="N553" s="12"/>
    </row>
    <row r="554" spans="1:14" ht="13" x14ac:dyDescent="0.15">
      <c r="A554" s="15"/>
      <c r="D554" s="10"/>
      <c r="E554" s="10"/>
      <c r="F554" s="14"/>
      <c r="G554" s="14"/>
      <c r="H554" s="14"/>
      <c r="I554" s="14"/>
      <c r="J554" s="14"/>
      <c r="K554" s="14"/>
      <c r="L554" s="14"/>
      <c r="M554" s="15"/>
      <c r="N554" s="12"/>
    </row>
    <row r="555" spans="1:14" ht="13" x14ac:dyDescent="0.15">
      <c r="A555" s="15"/>
      <c r="D555" s="10"/>
      <c r="E555" s="10"/>
      <c r="F555" s="14"/>
      <c r="G555" s="14"/>
      <c r="H555" s="14"/>
      <c r="I555" s="14"/>
      <c r="J555" s="14"/>
      <c r="K555" s="14"/>
      <c r="L555" s="14"/>
      <c r="M555" s="15"/>
      <c r="N555" s="12"/>
    </row>
    <row r="556" spans="1:14" ht="13" x14ac:dyDescent="0.15">
      <c r="A556" s="15"/>
      <c r="D556" s="10"/>
      <c r="E556" s="10"/>
      <c r="F556" s="14"/>
      <c r="G556" s="14"/>
      <c r="H556" s="14"/>
      <c r="I556" s="14"/>
      <c r="J556" s="14"/>
      <c r="K556" s="14"/>
      <c r="L556" s="14"/>
      <c r="M556" s="15"/>
      <c r="N556" s="12"/>
    </row>
    <row r="557" spans="1:14" ht="13" x14ac:dyDescent="0.15">
      <c r="A557" s="15"/>
      <c r="D557" s="10"/>
      <c r="E557" s="10"/>
      <c r="F557" s="14"/>
      <c r="G557" s="14"/>
      <c r="H557" s="14"/>
      <c r="I557" s="14"/>
      <c r="J557" s="14"/>
      <c r="K557" s="14"/>
      <c r="L557" s="14"/>
      <c r="M557" s="15"/>
      <c r="N557" s="12"/>
    </row>
    <row r="558" spans="1:14" ht="13" x14ac:dyDescent="0.15">
      <c r="A558" s="15"/>
      <c r="D558" s="10"/>
      <c r="E558" s="10"/>
      <c r="F558" s="14"/>
      <c r="G558" s="14"/>
      <c r="H558" s="14"/>
      <c r="I558" s="14"/>
      <c r="J558" s="14"/>
      <c r="K558" s="14"/>
      <c r="L558" s="14"/>
      <c r="M558" s="15"/>
      <c r="N558" s="12"/>
    </row>
    <row r="559" spans="1:14" ht="13" x14ac:dyDescent="0.15">
      <c r="A559" s="15"/>
      <c r="D559" s="10"/>
      <c r="E559" s="10"/>
      <c r="F559" s="14"/>
      <c r="G559" s="14"/>
      <c r="H559" s="14"/>
      <c r="I559" s="14"/>
      <c r="J559" s="14"/>
      <c r="K559" s="14"/>
      <c r="L559" s="14"/>
      <c r="M559" s="15"/>
      <c r="N559" s="12"/>
    </row>
    <row r="560" spans="1:14" ht="13" x14ac:dyDescent="0.15">
      <c r="A560" s="15"/>
      <c r="D560" s="10"/>
      <c r="E560" s="10"/>
      <c r="F560" s="14"/>
      <c r="G560" s="14"/>
      <c r="H560" s="14"/>
      <c r="I560" s="14"/>
      <c r="J560" s="14"/>
      <c r="K560" s="14"/>
      <c r="L560" s="14"/>
      <c r="M560" s="15"/>
      <c r="N560" s="12"/>
    </row>
    <row r="561" spans="1:14" ht="13" x14ac:dyDescent="0.15">
      <c r="A561" s="15"/>
      <c r="D561" s="10"/>
      <c r="E561" s="10"/>
      <c r="F561" s="14"/>
      <c r="G561" s="14"/>
      <c r="H561" s="14"/>
      <c r="I561" s="14"/>
      <c r="J561" s="14"/>
      <c r="K561" s="14"/>
      <c r="L561" s="14"/>
      <c r="M561" s="15"/>
      <c r="N561" s="12"/>
    </row>
    <row r="562" spans="1:14" ht="13" x14ac:dyDescent="0.15">
      <c r="A562" s="15"/>
      <c r="D562" s="10"/>
      <c r="E562" s="10"/>
      <c r="F562" s="14"/>
      <c r="G562" s="14"/>
      <c r="H562" s="14"/>
      <c r="I562" s="14"/>
      <c r="J562" s="14"/>
      <c r="K562" s="14"/>
      <c r="L562" s="14"/>
      <c r="M562" s="15"/>
      <c r="N562" s="12"/>
    </row>
    <row r="563" spans="1:14" ht="13" x14ac:dyDescent="0.15">
      <c r="A563" s="15"/>
      <c r="D563" s="10"/>
      <c r="E563" s="10"/>
      <c r="F563" s="14"/>
      <c r="G563" s="14"/>
      <c r="H563" s="14"/>
      <c r="I563" s="14"/>
      <c r="J563" s="14"/>
      <c r="K563" s="14"/>
      <c r="L563" s="14"/>
      <c r="M563" s="15"/>
      <c r="N563" s="12"/>
    </row>
    <row r="564" spans="1:14" ht="13" x14ac:dyDescent="0.15">
      <c r="A564" s="15"/>
      <c r="D564" s="10"/>
      <c r="E564" s="10"/>
      <c r="F564" s="14"/>
      <c r="G564" s="14"/>
      <c r="H564" s="14"/>
      <c r="I564" s="14"/>
      <c r="J564" s="14"/>
      <c r="K564" s="14"/>
      <c r="L564" s="14"/>
      <c r="M564" s="15"/>
      <c r="N564" s="12"/>
    </row>
    <row r="565" spans="1:14" ht="13" x14ac:dyDescent="0.15">
      <c r="A565" s="15"/>
      <c r="D565" s="10"/>
      <c r="E565" s="10"/>
      <c r="F565" s="14"/>
      <c r="G565" s="14"/>
      <c r="H565" s="14"/>
      <c r="I565" s="14"/>
      <c r="J565" s="14"/>
      <c r="K565" s="14"/>
      <c r="L565" s="14"/>
      <c r="M565" s="15"/>
      <c r="N565" s="12"/>
    </row>
    <row r="566" spans="1:14" ht="13" x14ac:dyDescent="0.15">
      <c r="A566" s="15"/>
      <c r="D566" s="10"/>
      <c r="E566" s="10"/>
      <c r="F566" s="14"/>
      <c r="G566" s="14"/>
      <c r="H566" s="14"/>
      <c r="I566" s="14"/>
      <c r="J566" s="14"/>
      <c r="K566" s="14"/>
      <c r="L566" s="14"/>
      <c r="M566" s="15"/>
      <c r="N566" s="12"/>
    </row>
    <row r="567" spans="1:14" ht="13" x14ac:dyDescent="0.15">
      <c r="A567" s="15"/>
      <c r="D567" s="10"/>
      <c r="E567" s="10"/>
      <c r="F567" s="14"/>
      <c r="G567" s="14"/>
      <c r="H567" s="14"/>
      <c r="I567" s="14"/>
      <c r="J567" s="14"/>
      <c r="K567" s="14"/>
      <c r="L567" s="14"/>
      <c r="M567" s="15"/>
      <c r="N567" s="12"/>
    </row>
    <row r="568" spans="1:14" ht="13" x14ac:dyDescent="0.15">
      <c r="A568" s="15"/>
      <c r="D568" s="10"/>
      <c r="E568" s="10"/>
      <c r="F568" s="14"/>
      <c r="G568" s="14"/>
      <c r="H568" s="14"/>
      <c r="I568" s="14"/>
      <c r="J568" s="14"/>
      <c r="K568" s="14"/>
      <c r="L568" s="14"/>
      <c r="M568" s="15"/>
      <c r="N568" s="12"/>
    </row>
    <row r="569" spans="1:14" ht="13" x14ac:dyDescent="0.15">
      <c r="A569" s="15"/>
      <c r="D569" s="10"/>
      <c r="E569" s="10"/>
      <c r="F569" s="14"/>
      <c r="G569" s="14"/>
      <c r="H569" s="14"/>
      <c r="I569" s="14"/>
      <c r="J569" s="14"/>
      <c r="K569" s="14"/>
      <c r="L569" s="14"/>
      <c r="M569" s="15"/>
      <c r="N569" s="12"/>
    </row>
    <row r="570" spans="1:14" ht="13" x14ac:dyDescent="0.15">
      <c r="A570" s="15"/>
      <c r="D570" s="10"/>
      <c r="E570" s="10"/>
      <c r="F570" s="14"/>
      <c r="G570" s="14"/>
      <c r="H570" s="14"/>
      <c r="I570" s="14"/>
      <c r="J570" s="14"/>
      <c r="K570" s="14"/>
      <c r="L570" s="14"/>
      <c r="M570" s="15"/>
      <c r="N570" s="12"/>
    </row>
    <row r="571" spans="1:14" ht="13" x14ac:dyDescent="0.15">
      <c r="A571" s="15"/>
      <c r="D571" s="10"/>
      <c r="E571" s="10"/>
      <c r="F571" s="14"/>
      <c r="G571" s="14"/>
      <c r="H571" s="14"/>
      <c r="I571" s="14"/>
      <c r="J571" s="14"/>
      <c r="K571" s="14"/>
      <c r="L571" s="14"/>
      <c r="M571" s="15"/>
      <c r="N571" s="12"/>
    </row>
    <row r="572" spans="1:14" ht="13" x14ac:dyDescent="0.15">
      <c r="A572" s="15"/>
      <c r="D572" s="10"/>
      <c r="E572" s="10"/>
      <c r="F572" s="14"/>
      <c r="G572" s="14"/>
      <c r="H572" s="14"/>
      <c r="I572" s="14"/>
      <c r="J572" s="14"/>
      <c r="K572" s="14"/>
      <c r="L572" s="14"/>
      <c r="M572" s="15"/>
      <c r="N572" s="12"/>
    </row>
    <row r="573" spans="1:14" ht="13" x14ac:dyDescent="0.15">
      <c r="A573" s="15"/>
      <c r="D573" s="10"/>
      <c r="E573" s="10"/>
      <c r="F573" s="14"/>
      <c r="G573" s="14"/>
      <c r="H573" s="14"/>
      <c r="I573" s="14"/>
      <c r="J573" s="14"/>
      <c r="K573" s="14"/>
      <c r="L573" s="14"/>
      <c r="M573" s="15"/>
      <c r="N573" s="12"/>
    </row>
    <row r="574" spans="1:14" ht="13" x14ac:dyDescent="0.15">
      <c r="A574" s="15"/>
      <c r="D574" s="10"/>
      <c r="E574" s="10"/>
      <c r="F574" s="14"/>
      <c r="G574" s="14"/>
      <c r="H574" s="14"/>
      <c r="I574" s="14"/>
      <c r="J574" s="14"/>
      <c r="K574" s="14"/>
      <c r="L574" s="14"/>
      <c r="M574" s="15"/>
      <c r="N574" s="12"/>
    </row>
    <row r="575" spans="1:14" ht="13" x14ac:dyDescent="0.15">
      <c r="A575" s="15"/>
      <c r="D575" s="10"/>
      <c r="E575" s="10"/>
      <c r="F575" s="14"/>
      <c r="G575" s="14"/>
      <c r="H575" s="14"/>
      <c r="I575" s="14"/>
      <c r="J575" s="14"/>
      <c r="K575" s="14"/>
      <c r="L575" s="14"/>
      <c r="M575" s="15"/>
      <c r="N575" s="12"/>
    </row>
    <row r="576" spans="1:14" ht="13" x14ac:dyDescent="0.15">
      <c r="A576" s="15"/>
      <c r="D576" s="10"/>
      <c r="E576" s="10"/>
      <c r="F576" s="14"/>
      <c r="G576" s="14"/>
      <c r="H576" s="14"/>
      <c r="I576" s="14"/>
      <c r="J576" s="14"/>
      <c r="K576" s="14"/>
      <c r="L576" s="14"/>
      <c r="M576" s="15"/>
      <c r="N576" s="12"/>
    </row>
    <row r="577" spans="1:14" ht="13" x14ac:dyDescent="0.15">
      <c r="A577" s="15"/>
      <c r="D577" s="10"/>
      <c r="E577" s="10"/>
      <c r="F577" s="14"/>
      <c r="G577" s="14"/>
      <c r="H577" s="14"/>
      <c r="I577" s="14"/>
      <c r="J577" s="14"/>
      <c r="K577" s="14"/>
      <c r="L577" s="14"/>
      <c r="M577" s="15"/>
      <c r="N577" s="12"/>
    </row>
    <row r="578" spans="1:14" ht="13" x14ac:dyDescent="0.15">
      <c r="A578" s="15"/>
      <c r="D578" s="10"/>
      <c r="E578" s="10"/>
      <c r="F578" s="14"/>
      <c r="G578" s="14"/>
      <c r="H578" s="14"/>
      <c r="I578" s="14"/>
      <c r="J578" s="14"/>
      <c r="K578" s="14"/>
      <c r="L578" s="14"/>
      <c r="M578" s="15"/>
      <c r="N578" s="12"/>
    </row>
    <row r="579" spans="1:14" ht="13" x14ac:dyDescent="0.15">
      <c r="A579" s="15"/>
      <c r="D579" s="10"/>
      <c r="E579" s="10"/>
      <c r="F579" s="14"/>
      <c r="G579" s="14"/>
      <c r="H579" s="14"/>
      <c r="I579" s="14"/>
      <c r="J579" s="14"/>
      <c r="K579" s="14"/>
      <c r="L579" s="14"/>
      <c r="M579" s="15"/>
      <c r="N579" s="12"/>
    </row>
    <row r="580" spans="1:14" ht="13" x14ac:dyDescent="0.15">
      <c r="A580" s="15"/>
      <c r="D580" s="10"/>
      <c r="E580" s="10"/>
      <c r="F580" s="14"/>
      <c r="G580" s="14"/>
      <c r="H580" s="14"/>
      <c r="I580" s="14"/>
      <c r="J580" s="14"/>
      <c r="K580" s="14"/>
      <c r="L580" s="14"/>
      <c r="M580" s="15"/>
      <c r="N580" s="12"/>
    </row>
    <row r="581" spans="1:14" ht="13" x14ac:dyDescent="0.15">
      <c r="A581" s="15"/>
      <c r="D581" s="10"/>
      <c r="E581" s="10"/>
      <c r="F581" s="14"/>
      <c r="G581" s="14"/>
      <c r="H581" s="14"/>
      <c r="I581" s="14"/>
      <c r="J581" s="14"/>
      <c r="K581" s="14"/>
      <c r="L581" s="14"/>
      <c r="M581" s="15"/>
      <c r="N581" s="12"/>
    </row>
    <row r="582" spans="1:14" ht="13" x14ac:dyDescent="0.15">
      <c r="A582" s="15"/>
      <c r="D582" s="10"/>
      <c r="E582" s="10"/>
      <c r="F582" s="14"/>
      <c r="G582" s="14"/>
      <c r="H582" s="14"/>
      <c r="I582" s="14"/>
      <c r="J582" s="14"/>
      <c r="K582" s="14"/>
      <c r="L582" s="14"/>
      <c r="M582" s="15"/>
      <c r="N582" s="12"/>
    </row>
    <row r="583" spans="1:14" ht="13" x14ac:dyDescent="0.15">
      <c r="A583" s="15"/>
      <c r="D583" s="10"/>
      <c r="E583" s="10"/>
      <c r="F583" s="14"/>
      <c r="G583" s="14"/>
      <c r="H583" s="14"/>
      <c r="I583" s="14"/>
      <c r="J583" s="14"/>
      <c r="K583" s="14"/>
      <c r="L583" s="14"/>
      <c r="M583" s="15"/>
      <c r="N583" s="12"/>
    </row>
    <row r="584" spans="1:14" ht="13" x14ac:dyDescent="0.15">
      <c r="A584" s="15"/>
      <c r="D584" s="10"/>
      <c r="E584" s="10"/>
      <c r="F584" s="14"/>
      <c r="G584" s="14"/>
      <c r="H584" s="14"/>
      <c r="I584" s="14"/>
      <c r="J584" s="14"/>
      <c r="K584" s="14"/>
      <c r="L584" s="14"/>
      <c r="M584" s="15"/>
      <c r="N584" s="12"/>
    </row>
    <row r="585" spans="1:14" ht="13" x14ac:dyDescent="0.15">
      <c r="A585" s="15"/>
      <c r="D585" s="10"/>
      <c r="E585" s="10"/>
      <c r="F585" s="14"/>
      <c r="G585" s="14"/>
      <c r="H585" s="14"/>
      <c r="I585" s="14"/>
      <c r="J585" s="14"/>
      <c r="K585" s="14"/>
      <c r="L585" s="14"/>
      <c r="M585" s="15"/>
      <c r="N585" s="12"/>
    </row>
    <row r="586" spans="1:14" ht="13" x14ac:dyDescent="0.15">
      <c r="A586" s="15"/>
      <c r="D586" s="10"/>
      <c r="E586" s="10"/>
      <c r="F586" s="14"/>
      <c r="G586" s="14"/>
      <c r="H586" s="14"/>
      <c r="I586" s="14"/>
      <c r="J586" s="14"/>
      <c r="K586" s="14"/>
      <c r="L586" s="14"/>
      <c r="M586" s="15"/>
      <c r="N586" s="12"/>
    </row>
    <row r="587" spans="1:14" ht="13" x14ac:dyDescent="0.15">
      <c r="A587" s="15"/>
      <c r="D587" s="10"/>
      <c r="E587" s="10"/>
      <c r="F587" s="14"/>
      <c r="G587" s="14"/>
      <c r="H587" s="14"/>
      <c r="I587" s="14"/>
      <c r="J587" s="14"/>
      <c r="K587" s="14"/>
      <c r="L587" s="14"/>
      <c r="M587" s="15"/>
      <c r="N587" s="12"/>
    </row>
    <row r="588" spans="1:14" ht="13" x14ac:dyDescent="0.15">
      <c r="A588" s="15"/>
      <c r="D588" s="10"/>
      <c r="E588" s="10"/>
      <c r="F588" s="14"/>
      <c r="G588" s="14"/>
      <c r="H588" s="14"/>
      <c r="I588" s="14"/>
      <c r="J588" s="14"/>
      <c r="K588" s="14"/>
      <c r="L588" s="14"/>
      <c r="M588" s="15"/>
      <c r="N588" s="12"/>
    </row>
    <row r="589" spans="1:14" ht="13" x14ac:dyDescent="0.15">
      <c r="A589" s="15"/>
      <c r="D589" s="10"/>
      <c r="E589" s="10"/>
      <c r="F589" s="14"/>
      <c r="G589" s="14"/>
      <c r="H589" s="14"/>
      <c r="I589" s="14"/>
      <c r="J589" s="14"/>
      <c r="K589" s="14"/>
      <c r="L589" s="14"/>
      <c r="M589" s="15"/>
      <c r="N589" s="12"/>
    </row>
    <row r="590" spans="1:14" ht="13" x14ac:dyDescent="0.15">
      <c r="A590" s="15"/>
      <c r="D590" s="10"/>
      <c r="E590" s="10"/>
      <c r="F590" s="14"/>
      <c r="G590" s="14"/>
      <c r="H590" s="14"/>
      <c r="I590" s="14"/>
      <c r="J590" s="14"/>
      <c r="K590" s="14"/>
      <c r="L590" s="14"/>
      <c r="M590" s="15"/>
      <c r="N590" s="12"/>
    </row>
    <row r="591" spans="1:14" ht="13" x14ac:dyDescent="0.15">
      <c r="A591" s="15"/>
      <c r="D591" s="10"/>
      <c r="E591" s="10"/>
      <c r="F591" s="14"/>
      <c r="G591" s="14"/>
      <c r="H591" s="14"/>
      <c r="I591" s="14"/>
      <c r="J591" s="14"/>
      <c r="K591" s="14"/>
      <c r="L591" s="14"/>
      <c r="M591" s="15"/>
      <c r="N591" s="12"/>
    </row>
    <row r="592" spans="1:14" ht="13" x14ac:dyDescent="0.15">
      <c r="A592" s="15"/>
      <c r="D592" s="10"/>
      <c r="E592" s="10"/>
      <c r="F592" s="14"/>
      <c r="G592" s="14"/>
      <c r="H592" s="14"/>
      <c r="I592" s="14"/>
      <c r="J592" s="14"/>
      <c r="K592" s="14"/>
      <c r="L592" s="14"/>
      <c r="M592" s="15"/>
      <c r="N592" s="12"/>
    </row>
    <row r="593" spans="1:14" ht="13" x14ac:dyDescent="0.15">
      <c r="A593" s="15"/>
      <c r="D593" s="10"/>
      <c r="E593" s="10"/>
      <c r="F593" s="14"/>
      <c r="G593" s="14"/>
      <c r="H593" s="14"/>
      <c r="I593" s="14"/>
      <c r="J593" s="14"/>
      <c r="K593" s="14"/>
      <c r="L593" s="14"/>
      <c r="M593" s="15"/>
      <c r="N593" s="12"/>
    </row>
    <row r="594" spans="1:14" ht="13" x14ac:dyDescent="0.15">
      <c r="A594" s="15"/>
      <c r="D594" s="10"/>
      <c r="E594" s="10"/>
      <c r="F594" s="14"/>
      <c r="G594" s="14"/>
      <c r="H594" s="14"/>
      <c r="I594" s="14"/>
      <c r="J594" s="14"/>
      <c r="K594" s="14"/>
      <c r="L594" s="14"/>
      <c r="M594" s="15"/>
      <c r="N594" s="12"/>
    </row>
    <row r="595" spans="1:14" ht="13" x14ac:dyDescent="0.15">
      <c r="A595" s="15"/>
      <c r="D595" s="10"/>
      <c r="E595" s="10"/>
      <c r="F595" s="14"/>
      <c r="G595" s="14"/>
      <c r="H595" s="14"/>
      <c r="I595" s="14"/>
      <c r="J595" s="14"/>
      <c r="K595" s="14"/>
      <c r="L595" s="14"/>
      <c r="M595" s="15"/>
      <c r="N595" s="12"/>
    </row>
    <row r="596" spans="1:14" ht="13" x14ac:dyDescent="0.15">
      <c r="A596" s="15"/>
      <c r="D596" s="10"/>
      <c r="E596" s="10"/>
      <c r="F596" s="14"/>
      <c r="G596" s="14"/>
      <c r="H596" s="14"/>
      <c r="I596" s="14"/>
      <c r="J596" s="14"/>
      <c r="K596" s="14"/>
      <c r="L596" s="14"/>
      <c r="M596" s="15"/>
      <c r="N596" s="12"/>
    </row>
    <row r="597" spans="1:14" ht="13" x14ac:dyDescent="0.15">
      <c r="A597" s="15"/>
      <c r="D597" s="10"/>
      <c r="E597" s="10"/>
      <c r="F597" s="14"/>
      <c r="G597" s="14"/>
      <c r="H597" s="14"/>
      <c r="I597" s="14"/>
      <c r="J597" s="14"/>
      <c r="K597" s="14"/>
      <c r="L597" s="14"/>
      <c r="M597" s="15"/>
      <c r="N597" s="12"/>
    </row>
    <row r="598" spans="1:14" ht="13" x14ac:dyDescent="0.15">
      <c r="A598" s="15"/>
      <c r="D598" s="10"/>
      <c r="E598" s="10"/>
      <c r="F598" s="14"/>
      <c r="G598" s="14"/>
      <c r="H598" s="14"/>
      <c r="I598" s="14"/>
      <c r="J598" s="14"/>
      <c r="K598" s="14"/>
      <c r="L598" s="14"/>
      <c r="M598" s="15"/>
      <c r="N598" s="12"/>
    </row>
    <row r="599" spans="1:14" ht="13" x14ac:dyDescent="0.15">
      <c r="A599" s="15"/>
      <c r="D599" s="10"/>
      <c r="E599" s="10"/>
      <c r="F599" s="14"/>
      <c r="G599" s="14"/>
      <c r="H599" s="14"/>
      <c r="I599" s="14"/>
      <c r="J599" s="14"/>
      <c r="K599" s="14"/>
      <c r="L599" s="14"/>
      <c r="M599" s="15"/>
      <c r="N599" s="12"/>
    </row>
    <row r="600" spans="1:14" ht="13" x14ac:dyDescent="0.15">
      <c r="A600" s="15"/>
      <c r="D600" s="10"/>
      <c r="E600" s="10"/>
      <c r="F600" s="14"/>
      <c r="G600" s="14"/>
      <c r="H600" s="14"/>
      <c r="I600" s="14"/>
      <c r="J600" s="14"/>
      <c r="K600" s="14"/>
      <c r="L600" s="14"/>
      <c r="M600" s="15"/>
      <c r="N600" s="12"/>
    </row>
    <row r="601" spans="1:14" ht="13" x14ac:dyDescent="0.15">
      <c r="A601" s="15"/>
      <c r="D601" s="10"/>
      <c r="E601" s="10"/>
      <c r="F601" s="14"/>
      <c r="G601" s="14"/>
      <c r="H601" s="14"/>
      <c r="I601" s="14"/>
      <c r="J601" s="14"/>
      <c r="K601" s="14"/>
      <c r="L601" s="14"/>
      <c r="M601" s="15"/>
      <c r="N601" s="12"/>
    </row>
    <row r="602" spans="1:14" ht="13" x14ac:dyDescent="0.15">
      <c r="A602" s="15"/>
      <c r="D602" s="10"/>
      <c r="E602" s="10"/>
      <c r="F602" s="14"/>
      <c r="G602" s="14"/>
      <c r="H602" s="14"/>
      <c r="I602" s="14"/>
      <c r="J602" s="14"/>
      <c r="K602" s="14"/>
      <c r="L602" s="14"/>
      <c r="M602" s="15"/>
      <c r="N602" s="12"/>
    </row>
    <row r="603" spans="1:14" ht="13" x14ac:dyDescent="0.15">
      <c r="A603" s="15"/>
      <c r="D603" s="10"/>
      <c r="E603" s="10"/>
      <c r="F603" s="14"/>
      <c r="G603" s="14"/>
      <c r="H603" s="14"/>
      <c r="I603" s="14"/>
      <c r="J603" s="14"/>
      <c r="K603" s="14"/>
      <c r="L603" s="14"/>
      <c r="M603" s="15"/>
      <c r="N603" s="12"/>
    </row>
    <row r="604" spans="1:14" ht="13" x14ac:dyDescent="0.15">
      <c r="A604" s="15"/>
      <c r="D604" s="10"/>
      <c r="E604" s="10"/>
      <c r="F604" s="14"/>
      <c r="G604" s="14"/>
      <c r="H604" s="14"/>
      <c r="I604" s="14"/>
      <c r="J604" s="14"/>
      <c r="K604" s="14"/>
      <c r="L604" s="14"/>
      <c r="M604" s="15"/>
      <c r="N604" s="12"/>
    </row>
    <row r="605" spans="1:14" ht="13" x14ac:dyDescent="0.15">
      <c r="A605" s="15"/>
      <c r="D605" s="10"/>
      <c r="E605" s="10"/>
      <c r="F605" s="14"/>
      <c r="G605" s="14"/>
      <c r="H605" s="14"/>
      <c r="I605" s="14"/>
      <c r="J605" s="14"/>
      <c r="K605" s="14"/>
      <c r="L605" s="14"/>
      <c r="M605" s="15"/>
      <c r="N605" s="12"/>
    </row>
    <row r="606" spans="1:14" ht="13" x14ac:dyDescent="0.15">
      <c r="A606" s="15"/>
      <c r="D606" s="10"/>
      <c r="E606" s="10"/>
      <c r="F606" s="14"/>
      <c r="G606" s="14"/>
      <c r="H606" s="14"/>
      <c r="I606" s="14"/>
      <c r="J606" s="14"/>
      <c r="K606" s="14"/>
      <c r="L606" s="14"/>
      <c r="M606" s="15"/>
      <c r="N606" s="12"/>
    </row>
    <row r="607" spans="1:14" ht="13" x14ac:dyDescent="0.15">
      <c r="A607" s="15"/>
      <c r="D607" s="10"/>
      <c r="E607" s="10"/>
      <c r="F607" s="14"/>
      <c r="G607" s="14"/>
      <c r="H607" s="14"/>
      <c r="I607" s="14"/>
      <c r="J607" s="14"/>
      <c r="K607" s="14"/>
      <c r="L607" s="14"/>
      <c r="M607" s="15"/>
      <c r="N607" s="12"/>
    </row>
    <row r="608" spans="1:14" ht="13" x14ac:dyDescent="0.15">
      <c r="A608" s="15"/>
      <c r="D608" s="10"/>
      <c r="E608" s="10"/>
      <c r="F608" s="14"/>
      <c r="G608" s="14"/>
      <c r="H608" s="14"/>
      <c r="I608" s="14"/>
      <c r="J608" s="14"/>
      <c r="K608" s="14"/>
      <c r="L608" s="14"/>
      <c r="M608" s="15"/>
      <c r="N608" s="12"/>
    </row>
    <row r="609" spans="1:14" ht="13" x14ac:dyDescent="0.15">
      <c r="A609" s="15"/>
      <c r="D609" s="10"/>
      <c r="E609" s="10"/>
      <c r="F609" s="14"/>
      <c r="G609" s="14"/>
      <c r="H609" s="14"/>
      <c r="I609" s="14"/>
      <c r="J609" s="14"/>
      <c r="K609" s="14"/>
      <c r="L609" s="14"/>
      <c r="M609" s="15"/>
      <c r="N609" s="12"/>
    </row>
    <row r="610" spans="1:14" ht="13" x14ac:dyDescent="0.15">
      <c r="A610" s="15"/>
      <c r="D610" s="10"/>
      <c r="E610" s="10"/>
      <c r="F610" s="14"/>
      <c r="G610" s="14"/>
      <c r="H610" s="14"/>
      <c r="I610" s="14"/>
      <c r="J610" s="14"/>
      <c r="K610" s="14"/>
      <c r="L610" s="14"/>
      <c r="M610" s="15"/>
      <c r="N610" s="12"/>
    </row>
    <row r="611" spans="1:14" ht="13" x14ac:dyDescent="0.15">
      <c r="A611" s="15"/>
      <c r="D611" s="10"/>
      <c r="E611" s="10"/>
      <c r="F611" s="14"/>
      <c r="G611" s="14"/>
      <c r="H611" s="14"/>
      <c r="I611" s="14"/>
      <c r="J611" s="14"/>
      <c r="K611" s="14"/>
      <c r="L611" s="14"/>
      <c r="M611" s="15"/>
      <c r="N611" s="12"/>
    </row>
    <row r="612" spans="1:14" ht="13" x14ac:dyDescent="0.15">
      <c r="A612" s="15"/>
      <c r="D612" s="10"/>
      <c r="E612" s="10"/>
      <c r="F612" s="14"/>
      <c r="G612" s="14"/>
      <c r="H612" s="14"/>
      <c r="I612" s="14"/>
      <c r="J612" s="14"/>
      <c r="K612" s="14"/>
      <c r="L612" s="14"/>
      <c r="M612" s="15"/>
      <c r="N612" s="12"/>
    </row>
    <row r="613" spans="1:14" ht="13" x14ac:dyDescent="0.15">
      <c r="A613" s="15"/>
      <c r="D613" s="10"/>
      <c r="E613" s="10"/>
      <c r="F613" s="14"/>
      <c r="G613" s="14"/>
      <c r="H613" s="14"/>
      <c r="I613" s="14"/>
      <c r="J613" s="14"/>
      <c r="K613" s="14"/>
      <c r="L613" s="14"/>
      <c r="M613" s="15"/>
      <c r="N613" s="12"/>
    </row>
    <row r="614" spans="1:14" ht="13" x14ac:dyDescent="0.15">
      <c r="A614" s="15"/>
      <c r="D614" s="10"/>
      <c r="E614" s="10"/>
      <c r="F614" s="14"/>
      <c r="G614" s="14"/>
      <c r="H614" s="14"/>
      <c r="I614" s="14"/>
      <c r="J614" s="14"/>
      <c r="K614" s="14"/>
      <c r="L614" s="14"/>
      <c r="M614" s="15"/>
      <c r="N614" s="12"/>
    </row>
    <row r="615" spans="1:14" ht="13" x14ac:dyDescent="0.15">
      <c r="A615" s="15"/>
      <c r="D615" s="10"/>
      <c r="E615" s="10"/>
      <c r="F615" s="14"/>
      <c r="G615" s="14"/>
      <c r="H615" s="14"/>
      <c r="I615" s="14"/>
      <c r="J615" s="14"/>
      <c r="K615" s="14"/>
      <c r="L615" s="14"/>
      <c r="M615" s="15"/>
      <c r="N615" s="12"/>
    </row>
    <row r="616" spans="1:14" ht="13" x14ac:dyDescent="0.15">
      <c r="A616" s="15"/>
      <c r="D616" s="10"/>
      <c r="E616" s="10"/>
      <c r="F616" s="14"/>
      <c r="G616" s="14"/>
      <c r="H616" s="14"/>
      <c r="I616" s="14"/>
      <c r="J616" s="14"/>
      <c r="K616" s="14"/>
      <c r="L616" s="14"/>
      <c r="M616" s="15"/>
      <c r="N616" s="12"/>
    </row>
    <row r="617" spans="1:14" ht="13" x14ac:dyDescent="0.15">
      <c r="A617" s="15"/>
      <c r="D617" s="10"/>
      <c r="E617" s="10"/>
      <c r="F617" s="14"/>
      <c r="G617" s="14"/>
      <c r="H617" s="14"/>
      <c r="I617" s="14"/>
      <c r="J617" s="14"/>
      <c r="K617" s="14"/>
      <c r="L617" s="14"/>
      <c r="M617" s="15"/>
      <c r="N617" s="12"/>
    </row>
    <row r="618" spans="1:14" ht="13" x14ac:dyDescent="0.15">
      <c r="A618" s="15"/>
      <c r="D618" s="10"/>
      <c r="E618" s="10"/>
      <c r="F618" s="14"/>
      <c r="G618" s="14"/>
      <c r="H618" s="14"/>
      <c r="I618" s="14"/>
      <c r="J618" s="14"/>
      <c r="K618" s="14"/>
      <c r="L618" s="14"/>
      <c r="M618" s="15"/>
      <c r="N618" s="12"/>
    </row>
    <row r="619" spans="1:14" ht="13" x14ac:dyDescent="0.15">
      <c r="A619" s="15"/>
      <c r="D619" s="10"/>
      <c r="E619" s="10"/>
      <c r="F619" s="14"/>
      <c r="G619" s="14"/>
      <c r="H619" s="14"/>
      <c r="I619" s="14"/>
      <c r="J619" s="14"/>
      <c r="K619" s="14"/>
      <c r="L619" s="14"/>
      <c r="M619" s="15"/>
      <c r="N619" s="12"/>
    </row>
    <row r="620" spans="1:14" ht="13" x14ac:dyDescent="0.15">
      <c r="A620" s="15"/>
      <c r="D620" s="10"/>
      <c r="E620" s="10"/>
      <c r="F620" s="14"/>
      <c r="G620" s="14"/>
      <c r="H620" s="14"/>
      <c r="I620" s="14"/>
      <c r="J620" s="14"/>
      <c r="K620" s="14"/>
      <c r="L620" s="14"/>
      <c r="M620" s="15"/>
      <c r="N620" s="12"/>
    </row>
    <row r="621" spans="1:14" ht="13" x14ac:dyDescent="0.15">
      <c r="A621" s="15"/>
      <c r="D621" s="10"/>
      <c r="E621" s="10"/>
      <c r="F621" s="14"/>
      <c r="G621" s="14"/>
      <c r="H621" s="14"/>
      <c r="I621" s="14"/>
      <c r="J621" s="14"/>
      <c r="K621" s="14"/>
      <c r="L621" s="14"/>
      <c r="M621" s="15"/>
      <c r="N621" s="12"/>
    </row>
    <row r="622" spans="1:14" ht="13" x14ac:dyDescent="0.15">
      <c r="A622" s="15"/>
      <c r="D622" s="10"/>
      <c r="E622" s="10"/>
      <c r="F622" s="14"/>
      <c r="G622" s="14"/>
      <c r="H622" s="14"/>
      <c r="I622" s="14"/>
      <c r="J622" s="14"/>
      <c r="K622" s="14"/>
      <c r="L622" s="14"/>
      <c r="M622" s="15"/>
      <c r="N622" s="12"/>
    </row>
    <row r="623" spans="1:14" ht="13" x14ac:dyDescent="0.15">
      <c r="A623" s="15"/>
      <c r="D623" s="10"/>
      <c r="E623" s="10"/>
      <c r="F623" s="14"/>
      <c r="G623" s="14"/>
      <c r="H623" s="14"/>
      <c r="I623" s="14"/>
      <c r="J623" s="14"/>
      <c r="K623" s="14"/>
      <c r="L623" s="14"/>
      <c r="M623" s="15"/>
      <c r="N623" s="12"/>
    </row>
    <row r="624" spans="1:14" ht="13" x14ac:dyDescent="0.15">
      <c r="A624" s="15"/>
      <c r="D624" s="10"/>
      <c r="E624" s="10"/>
      <c r="F624" s="14"/>
      <c r="G624" s="14"/>
      <c r="H624" s="14"/>
      <c r="I624" s="14"/>
      <c r="J624" s="14"/>
      <c r="K624" s="14"/>
      <c r="L624" s="14"/>
      <c r="M624" s="15"/>
      <c r="N624" s="12"/>
    </row>
    <row r="625" spans="1:14" ht="13" x14ac:dyDescent="0.15">
      <c r="A625" s="15"/>
      <c r="D625" s="10"/>
      <c r="E625" s="10"/>
      <c r="F625" s="14"/>
      <c r="G625" s="14"/>
      <c r="H625" s="14"/>
      <c r="I625" s="14"/>
      <c r="J625" s="14"/>
      <c r="K625" s="14"/>
      <c r="L625" s="14"/>
      <c r="M625" s="15"/>
      <c r="N625" s="12"/>
    </row>
    <row r="626" spans="1:14" ht="13" x14ac:dyDescent="0.15">
      <c r="A626" s="15"/>
      <c r="D626" s="10"/>
      <c r="E626" s="10"/>
      <c r="F626" s="14"/>
      <c r="G626" s="14"/>
      <c r="H626" s="14"/>
      <c r="I626" s="14"/>
      <c r="J626" s="14"/>
      <c r="K626" s="14"/>
      <c r="L626" s="14"/>
      <c r="M626" s="15"/>
      <c r="N626" s="12"/>
    </row>
    <row r="627" spans="1:14" ht="13" x14ac:dyDescent="0.15">
      <c r="A627" s="15"/>
      <c r="D627" s="10"/>
      <c r="E627" s="10"/>
      <c r="F627" s="14"/>
      <c r="G627" s="14"/>
      <c r="H627" s="14"/>
      <c r="I627" s="14"/>
      <c r="J627" s="14"/>
      <c r="K627" s="14"/>
      <c r="L627" s="14"/>
      <c r="M627" s="15"/>
      <c r="N627" s="12"/>
    </row>
    <row r="628" spans="1:14" ht="13" x14ac:dyDescent="0.15">
      <c r="A628" s="15"/>
      <c r="D628" s="10"/>
      <c r="E628" s="10"/>
      <c r="F628" s="14"/>
      <c r="G628" s="14"/>
      <c r="H628" s="14"/>
      <c r="I628" s="14"/>
      <c r="J628" s="14"/>
      <c r="K628" s="14"/>
      <c r="L628" s="14"/>
      <c r="M628" s="15"/>
      <c r="N628" s="12"/>
    </row>
    <row r="629" spans="1:14" ht="13" x14ac:dyDescent="0.15">
      <c r="A629" s="15"/>
      <c r="D629" s="10"/>
      <c r="E629" s="10"/>
      <c r="F629" s="14"/>
      <c r="G629" s="14"/>
      <c r="H629" s="14"/>
      <c r="I629" s="14"/>
      <c r="J629" s="14"/>
      <c r="K629" s="14"/>
      <c r="L629" s="14"/>
      <c r="M629" s="15"/>
      <c r="N629" s="12"/>
    </row>
    <row r="630" spans="1:14" ht="13" x14ac:dyDescent="0.15">
      <c r="A630" s="15"/>
      <c r="D630" s="10"/>
      <c r="E630" s="10"/>
      <c r="F630" s="14"/>
      <c r="G630" s="14"/>
      <c r="H630" s="14"/>
      <c r="I630" s="14"/>
      <c r="J630" s="14"/>
      <c r="K630" s="14"/>
      <c r="L630" s="14"/>
      <c r="M630" s="15"/>
      <c r="N630" s="12"/>
    </row>
    <row r="631" spans="1:14" ht="13" x14ac:dyDescent="0.15">
      <c r="A631" s="15"/>
      <c r="D631" s="10"/>
      <c r="E631" s="10"/>
      <c r="F631" s="14"/>
      <c r="G631" s="14"/>
      <c r="H631" s="14"/>
      <c r="I631" s="14"/>
      <c r="J631" s="14"/>
      <c r="K631" s="14"/>
      <c r="L631" s="14"/>
      <c r="M631" s="15"/>
      <c r="N631" s="12"/>
    </row>
    <row r="632" spans="1:14" ht="13" x14ac:dyDescent="0.15">
      <c r="A632" s="15"/>
      <c r="D632" s="10"/>
      <c r="E632" s="10"/>
      <c r="F632" s="14"/>
      <c r="G632" s="14"/>
      <c r="H632" s="14"/>
      <c r="I632" s="14"/>
      <c r="J632" s="14"/>
      <c r="K632" s="14"/>
      <c r="L632" s="14"/>
      <c r="M632" s="15"/>
      <c r="N632" s="12"/>
    </row>
    <row r="633" spans="1:14" ht="13" x14ac:dyDescent="0.15">
      <c r="A633" s="15"/>
      <c r="D633" s="10"/>
      <c r="E633" s="10"/>
      <c r="F633" s="14"/>
      <c r="G633" s="14"/>
      <c r="H633" s="14"/>
      <c r="I633" s="14"/>
      <c r="J633" s="14"/>
      <c r="K633" s="14"/>
      <c r="L633" s="14"/>
      <c r="M633" s="15"/>
      <c r="N633" s="12"/>
    </row>
    <row r="634" spans="1:14" ht="13" x14ac:dyDescent="0.15">
      <c r="A634" s="15"/>
      <c r="D634" s="10"/>
      <c r="E634" s="10"/>
      <c r="F634" s="14"/>
      <c r="G634" s="14"/>
      <c r="H634" s="14"/>
      <c r="I634" s="14"/>
      <c r="J634" s="14"/>
      <c r="K634" s="14"/>
      <c r="L634" s="14"/>
      <c r="M634" s="15"/>
      <c r="N634" s="12"/>
    </row>
    <row r="635" spans="1:14" ht="13" x14ac:dyDescent="0.15">
      <c r="A635" s="15"/>
      <c r="D635" s="10"/>
      <c r="E635" s="10"/>
      <c r="F635" s="14"/>
      <c r="G635" s="14"/>
      <c r="H635" s="14"/>
      <c r="I635" s="14"/>
      <c r="J635" s="14"/>
      <c r="K635" s="14"/>
      <c r="L635" s="14"/>
      <c r="M635" s="15"/>
      <c r="N635" s="12"/>
    </row>
    <row r="636" spans="1:14" ht="13" x14ac:dyDescent="0.15">
      <c r="A636" s="15"/>
      <c r="D636" s="10"/>
      <c r="E636" s="10"/>
      <c r="F636" s="14"/>
      <c r="G636" s="14"/>
      <c r="H636" s="14"/>
      <c r="I636" s="14"/>
      <c r="J636" s="14"/>
      <c r="K636" s="14"/>
      <c r="L636" s="14"/>
      <c r="M636" s="15"/>
      <c r="N636" s="12"/>
    </row>
    <row r="637" spans="1:14" ht="13" x14ac:dyDescent="0.15">
      <c r="A637" s="15"/>
      <c r="D637" s="10"/>
      <c r="E637" s="10"/>
      <c r="F637" s="14"/>
      <c r="G637" s="14"/>
      <c r="H637" s="14"/>
      <c r="I637" s="14"/>
      <c r="J637" s="14"/>
      <c r="K637" s="14"/>
      <c r="L637" s="14"/>
      <c r="M637" s="15"/>
      <c r="N637" s="12"/>
    </row>
    <row r="638" spans="1:14" ht="13" x14ac:dyDescent="0.15">
      <c r="A638" s="15"/>
      <c r="D638" s="10"/>
      <c r="E638" s="10"/>
      <c r="F638" s="14"/>
      <c r="G638" s="14"/>
      <c r="H638" s="14"/>
      <c r="I638" s="14"/>
      <c r="J638" s="14"/>
      <c r="K638" s="14"/>
      <c r="L638" s="14"/>
      <c r="M638" s="15"/>
      <c r="N638" s="12"/>
    </row>
    <row r="639" spans="1:14" ht="13" x14ac:dyDescent="0.15">
      <c r="A639" s="15"/>
      <c r="D639" s="10"/>
      <c r="E639" s="10"/>
      <c r="F639" s="14"/>
      <c r="G639" s="14"/>
      <c r="H639" s="14"/>
      <c r="I639" s="14"/>
      <c r="J639" s="14"/>
      <c r="K639" s="14"/>
      <c r="L639" s="14"/>
      <c r="M639" s="15"/>
      <c r="N639" s="12"/>
    </row>
    <row r="640" spans="1:14" ht="13" x14ac:dyDescent="0.15">
      <c r="A640" s="15"/>
      <c r="D640" s="10"/>
      <c r="E640" s="10"/>
      <c r="F640" s="14"/>
      <c r="G640" s="14"/>
      <c r="H640" s="14"/>
      <c r="I640" s="14"/>
      <c r="J640" s="14"/>
      <c r="K640" s="14"/>
      <c r="L640" s="14"/>
      <c r="M640" s="15"/>
      <c r="N640" s="12"/>
    </row>
    <row r="641" spans="1:14" ht="13" x14ac:dyDescent="0.15">
      <c r="A641" s="15"/>
      <c r="D641" s="10"/>
      <c r="E641" s="10"/>
      <c r="F641" s="14"/>
      <c r="G641" s="14"/>
      <c r="H641" s="14"/>
      <c r="I641" s="14"/>
      <c r="J641" s="14"/>
      <c r="K641" s="14"/>
      <c r="L641" s="14"/>
      <c r="M641" s="15"/>
      <c r="N641" s="12"/>
    </row>
    <row r="642" spans="1:14" ht="13" x14ac:dyDescent="0.15">
      <c r="A642" s="15"/>
      <c r="D642" s="10"/>
      <c r="E642" s="10"/>
      <c r="F642" s="14"/>
      <c r="G642" s="14"/>
      <c r="H642" s="14"/>
      <c r="I642" s="14"/>
      <c r="J642" s="14"/>
      <c r="K642" s="14"/>
      <c r="L642" s="14"/>
      <c r="M642" s="15"/>
      <c r="N642" s="12"/>
    </row>
    <row r="643" spans="1:14" ht="13" x14ac:dyDescent="0.15">
      <c r="A643" s="15"/>
      <c r="D643" s="10"/>
      <c r="E643" s="10"/>
      <c r="F643" s="14"/>
      <c r="G643" s="14"/>
      <c r="H643" s="14"/>
      <c r="I643" s="14"/>
      <c r="J643" s="14"/>
      <c r="K643" s="14"/>
      <c r="L643" s="14"/>
      <c r="M643" s="15"/>
      <c r="N643" s="12"/>
    </row>
    <row r="644" spans="1:14" ht="13" x14ac:dyDescent="0.15">
      <c r="A644" s="15"/>
      <c r="D644" s="10"/>
      <c r="E644" s="10"/>
      <c r="F644" s="14"/>
      <c r="G644" s="14"/>
      <c r="H644" s="14"/>
      <c r="I644" s="14"/>
      <c r="J644" s="14"/>
      <c r="K644" s="14"/>
      <c r="L644" s="14"/>
      <c r="M644" s="15"/>
      <c r="N644" s="12"/>
    </row>
    <row r="645" spans="1:14" ht="13" x14ac:dyDescent="0.15">
      <c r="A645" s="15"/>
      <c r="D645" s="10"/>
      <c r="E645" s="10"/>
      <c r="F645" s="14"/>
      <c r="G645" s="14"/>
      <c r="H645" s="14"/>
      <c r="I645" s="14"/>
      <c r="J645" s="14"/>
      <c r="K645" s="14"/>
      <c r="L645" s="14"/>
      <c r="M645" s="15"/>
      <c r="N645" s="12"/>
    </row>
    <row r="646" spans="1:14" ht="13" x14ac:dyDescent="0.15">
      <c r="A646" s="15"/>
      <c r="D646" s="10"/>
      <c r="E646" s="10"/>
      <c r="F646" s="14"/>
      <c r="G646" s="14"/>
      <c r="H646" s="14"/>
      <c r="I646" s="14"/>
      <c r="J646" s="14"/>
      <c r="K646" s="14"/>
      <c r="L646" s="14"/>
      <c r="M646" s="15"/>
      <c r="N646" s="12"/>
    </row>
    <row r="647" spans="1:14" ht="13" x14ac:dyDescent="0.15">
      <c r="A647" s="15"/>
      <c r="D647" s="10"/>
      <c r="E647" s="10"/>
      <c r="F647" s="14"/>
      <c r="G647" s="14"/>
      <c r="H647" s="14"/>
      <c r="I647" s="14"/>
      <c r="J647" s="14"/>
      <c r="K647" s="14"/>
      <c r="L647" s="14"/>
      <c r="M647" s="15"/>
      <c r="N647" s="12"/>
    </row>
    <row r="648" spans="1:14" ht="13" x14ac:dyDescent="0.15">
      <c r="A648" s="15"/>
      <c r="D648" s="10"/>
      <c r="E648" s="10"/>
      <c r="F648" s="14"/>
      <c r="G648" s="14"/>
      <c r="H648" s="14"/>
      <c r="I648" s="14"/>
      <c r="J648" s="14"/>
      <c r="K648" s="14"/>
      <c r="L648" s="14"/>
      <c r="M648" s="15"/>
      <c r="N648" s="12"/>
    </row>
    <row r="649" spans="1:14" ht="13" x14ac:dyDescent="0.15">
      <c r="A649" s="15"/>
      <c r="D649" s="10"/>
      <c r="E649" s="10"/>
      <c r="F649" s="14"/>
      <c r="G649" s="14"/>
      <c r="H649" s="14"/>
      <c r="I649" s="14"/>
      <c r="J649" s="14"/>
      <c r="K649" s="14"/>
      <c r="L649" s="14"/>
      <c r="M649" s="15"/>
      <c r="N649" s="12"/>
    </row>
    <row r="650" spans="1:14" ht="13" x14ac:dyDescent="0.15">
      <c r="A650" s="15"/>
      <c r="D650" s="10"/>
      <c r="E650" s="10"/>
      <c r="F650" s="14"/>
      <c r="G650" s="14"/>
      <c r="H650" s="14"/>
      <c r="I650" s="14"/>
      <c r="J650" s="14"/>
      <c r="K650" s="14"/>
      <c r="L650" s="14"/>
      <c r="M650" s="15"/>
      <c r="N650" s="12"/>
    </row>
    <row r="651" spans="1:14" ht="13" x14ac:dyDescent="0.15">
      <c r="A651" s="15"/>
      <c r="D651" s="10"/>
      <c r="E651" s="10"/>
      <c r="F651" s="14"/>
      <c r="G651" s="14"/>
      <c r="H651" s="14"/>
      <c r="I651" s="14"/>
      <c r="J651" s="14"/>
      <c r="K651" s="14"/>
      <c r="L651" s="14"/>
      <c r="M651" s="15"/>
      <c r="N651" s="12"/>
    </row>
    <row r="652" spans="1:14" ht="13" x14ac:dyDescent="0.15">
      <c r="A652" s="15"/>
      <c r="D652" s="10"/>
      <c r="E652" s="10"/>
      <c r="F652" s="14"/>
      <c r="G652" s="14"/>
      <c r="H652" s="14"/>
      <c r="I652" s="14"/>
      <c r="J652" s="14"/>
      <c r="K652" s="14"/>
      <c r="L652" s="14"/>
      <c r="M652" s="15"/>
      <c r="N652" s="12"/>
    </row>
    <row r="653" spans="1:14" ht="13" x14ac:dyDescent="0.15">
      <c r="A653" s="15"/>
      <c r="D653" s="10"/>
      <c r="E653" s="10"/>
      <c r="F653" s="14"/>
      <c r="G653" s="14"/>
      <c r="H653" s="14"/>
      <c r="I653" s="14"/>
      <c r="J653" s="14"/>
      <c r="K653" s="14"/>
      <c r="L653" s="14"/>
      <c r="M653" s="15"/>
      <c r="N653" s="12"/>
    </row>
    <row r="654" spans="1:14" ht="13" x14ac:dyDescent="0.15">
      <c r="A654" s="15"/>
      <c r="D654" s="10"/>
      <c r="E654" s="10"/>
      <c r="F654" s="14"/>
      <c r="G654" s="14"/>
      <c r="H654" s="14"/>
      <c r="I654" s="14"/>
      <c r="J654" s="14"/>
      <c r="K654" s="14"/>
      <c r="L654" s="14"/>
      <c r="M654" s="15"/>
      <c r="N654" s="12"/>
    </row>
    <row r="655" spans="1:14" ht="13" x14ac:dyDescent="0.15">
      <c r="A655" s="15"/>
      <c r="D655" s="10"/>
      <c r="E655" s="10"/>
      <c r="F655" s="14"/>
      <c r="G655" s="14"/>
      <c r="H655" s="14"/>
      <c r="I655" s="14"/>
      <c r="J655" s="14"/>
      <c r="K655" s="14"/>
      <c r="L655" s="14"/>
      <c r="M655" s="15"/>
      <c r="N655" s="12"/>
    </row>
    <row r="656" spans="1:14" ht="13" x14ac:dyDescent="0.15">
      <c r="A656" s="15"/>
      <c r="D656" s="10"/>
      <c r="E656" s="10"/>
      <c r="F656" s="14"/>
      <c r="G656" s="14"/>
      <c r="H656" s="14"/>
      <c r="I656" s="14"/>
      <c r="J656" s="14"/>
      <c r="K656" s="14"/>
      <c r="L656" s="14"/>
      <c r="M656" s="15"/>
      <c r="N656" s="12"/>
    </row>
    <row r="657" spans="1:14" ht="13" x14ac:dyDescent="0.15">
      <c r="A657" s="15"/>
      <c r="D657" s="10"/>
      <c r="E657" s="10"/>
      <c r="F657" s="14"/>
      <c r="G657" s="14"/>
      <c r="H657" s="14"/>
      <c r="I657" s="14"/>
      <c r="J657" s="14"/>
      <c r="K657" s="14"/>
      <c r="L657" s="14"/>
      <c r="M657" s="15"/>
      <c r="N657" s="12"/>
    </row>
    <row r="658" spans="1:14" ht="13" x14ac:dyDescent="0.15">
      <c r="A658" s="15"/>
      <c r="D658" s="10"/>
      <c r="E658" s="10"/>
      <c r="F658" s="14"/>
      <c r="G658" s="14"/>
      <c r="H658" s="14"/>
      <c r="I658" s="14"/>
      <c r="J658" s="14"/>
      <c r="K658" s="14"/>
      <c r="L658" s="14"/>
      <c r="M658" s="15"/>
      <c r="N658" s="12"/>
    </row>
    <row r="659" spans="1:14" ht="13" x14ac:dyDescent="0.15">
      <c r="A659" s="15"/>
      <c r="D659" s="10"/>
      <c r="E659" s="10"/>
      <c r="F659" s="14"/>
      <c r="G659" s="14"/>
      <c r="H659" s="14"/>
      <c r="I659" s="14"/>
      <c r="J659" s="14"/>
      <c r="K659" s="14"/>
      <c r="L659" s="14"/>
      <c r="M659" s="15"/>
      <c r="N659" s="12"/>
    </row>
    <row r="660" spans="1:14" ht="13" x14ac:dyDescent="0.15">
      <c r="A660" s="15"/>
      <c r="D660" s="10"/>
      <c r="E660" s="10"/>
      <c r="F660" s="14"/>
      <c r="G660" s="14"/>
      <c r="H660" s="14"/>
      <c r="I660" s="14"/>
      <c r="J660" s="14"/>
      <c r="K660" s="14"/>
      <c r="L660" s="14"/>
      <c r="M660" s="15"/>
      <c r="N660" s="12"/>
    </row>
    <row r="661" spans="1:14" ht="13" x14ac:dyDescent="0.15">
      <c r="A661" s="15"/>
      <c r="D661" s="10"/>
      <c r="E661" s="10"/>
      <c r="F661" s="14"/>
      <c r="G661" s="14"/>
      <c r="H661" s="14"/>
      <c r="I661" s="14"/>
      <c r="J661" s="14"/>
      <c r="K661" s="14"/>
      <c r="L661" s="14"/>
      <c r="M661" s="15"/>
      <c r="N661" s="12"/>
    </row>
    <row r="662" spans="1:14" ht="13" x14ac:dyDescent="0.15">
      <c r="A662" s="15"/>
      <c r="D662" s="10"/>
      <c r="E662" s="10"/>
      <c r="F662" s="14"/>
      <c r="G662" s="14"/>
      <c r="H662" s="14"/>
      <c r="I662" s="14"/>
      <c r="J662" s="14"/>
      <c r="K662" s="14"/>
      <c r="L662" s="14"/>
      <c r="M662" s="15"/>
      <c r="N662" s="12"/>
    </row>
    <row r="663" spans="1:14" ht="13" x14ac:dyDescent="0.15">
      <c r="A663" s="15"/>
      <c r="D663" s="10"/>
      <c r="E663" s="10"/>
      <c r="F663" s="14"/>
      <c r="G663" s="14"/>
      <c r="H663" s="14"/>
      <c r="I663" s="14"/>
      <c r="J663" s="14"/>
      <c r="K663" s="14"/>
      <c r="L663" s="14"/>
      <c r="M663" s="15"/>
      <c r="N663" s="12"/>
    </row>
    <row r="664" spans="1:14" ht="13" x14ac:dyDescent="0.15">
      <c r="A664" s="15"/>
      <c r="D664" s="10"/>
      <c r="E664" s="10"/>
      <c r="F664" s="14"/>
      <c r="G664" s="14"/>
      <c r="H664" s="14"/>
      <c r="I664" s="14"/>
      <c r="J664" s="14"/>
      <c r="K664" s="14"/>
      <c r="L664" s="14"/>
      <c r="M664" s="15"/>
      <c r="N664" s="12"/>
    </row>
    <row r="665" spans="1:14" ht="13" x14ac:dyDescent="0.15">
      <c r="A665" s="15"/>
      <c r="D665" s="10"/>
      <c r="E665" s="10"/>
      <c r="F665" s="14"/>
      <c r="G665" s="14"/>
      <c r="H665" s="14"/>
      <c r="I665" s="14"/>
      <c r="J665" s="14"/>
      <c r="K665" s="14"/>
      <c r="L665" s="14"/>
      <c r="M665" s="15"/>
      <c r="N665" s="12"/>
    </row>
    <row r="666" spans="1:14" ht="13" x14ac:dyDescent="0.15">
      <c r="A666" s="15"/>
      <c r="D666" s="10"/>
      <c r="E666" s="10"/>
      <c r="F666" s="14"/>
      <c r="G666" s="14"/>
      <c r="H666" s="14"/>
      <c r="I666" s="14"/>
      <c r="J666" s="14"/>
      <c r="K666" s="14"/>
      <c r="L666" s="14"/>
      <c r="M666" s="15"/>
      <c r="N666" s="12"/>
    </row>
    <row r="667" spans="1:14" ht="13" x14ac:dyDescent="0.15">
      <c r="A667" s="15"/>
      <c r="D667" s="10"/>
      <c r="E667" s="10"/>
      <c r="F667" s="14"/>
      <c r="G667" s="14"/>
      <c r="H667" s="14"/>
      <c r="I667" s="14"/>
      <c r="J667" s="14"/>
      <c r="K667" s="14"/>
      <c r="L667" s="14"/>
      <c r="M667" s="15"/>
      <c r="N667" s="12"/>
    </row>
    <row r="668" spans="1:14" ht="13" x14ac:dyDescent="0.15">
      <c r="A668" s="15"/>
      <c r="D668" s="10"/>
      <c r="E668" s="10"/>
      <c r="F668" s="14"/>
      <c r="G668" s="14"/>
      <c r="H668" s="14"/>
      <c r="I668" s="14"/>
      <c r="J668" s="14"/>
      <c r="K668" s="14"/>
      <c r="L668" s="14"/>
      <c r="M668" s="15"/>
      <c r="N668" s="12"/>
    </row>
    <row r="669" spans="1:14" ht="13" x14ac:dyDescent="0.15">
      <c r="A669" s="15"/>
      <c r="D669" s="10"/>
      <c r="E669" s="10"/>
      <c r="F669" s="14"/>
      <c r="G669" s="14"/>
      <c r="H669" s="14"/>
      <c r="I669" s="14"/>
      <c r="J669" s="14"/>
      <c r="K669" s="14"/>
      <c r="L669" s="14"/>
      <c r="M669" s="15"/>
      <c r="N669" s="12"/>
    </row>
    <row r="670" spans="1:14" ht="13" x14ac:dyDescent="0.15">
      <c r="A670" s="15"/>
      <c r="D670" s="10"/>
      <c r="E670" s="10"/>
      <c r="F670" s="14"/>
      <c r="G670" s="14"/>
      <c r="H670" s="14"/>
      <c r="I670" s="14"/>
      <c r="J670" s="14"/>
      <c r="K670" s="14"/>
      <c r="L670" s="14"/>
      <c r="M670" s="15"/>
      <c r="N670" s="12"/>
    </row>
    <row r="671" spans="1:14" ht="13" x14ac:dyDescent="0.15">
      <c r="A671" s="15"/>
      <c r="D671" s="10"/>
      <c r="E671" s="10"/>
      <c r="F671" s="14"/>
      <c r="G671" s="14"/>
      <c r="H671" s="14"/>
      <c r="I671" s="14"/>
      <c r="J671" s="14"/>
      <c r="K671" s="14"/>
      <c r="L671" s="14"/>
      <c r="M671" s="15"/>
      <c r="N671" s="12"/>
    </row>
    <row r="672" spans="1:14" ht="13" x14ac:dyDescent="0.15">
      <c r="A672" s="15"/>
      <c r="D672" s="10"/>
      <c r="E672" s="10"/>
      <c r="F672" s="14"/>
      <c r="G672" s="14"/>
      <c r="H672" s="14"/>
      <c r="I672" s="14"/>
      <c r="J672" s="14"/>
      <c r="K672" s="14"/>
      <c r="L672" s="14"/>
      <c r="M672" s="15"/>
      <c r="N672" s="12"/>
    </row>
    <row r="673" spans="1:14" ht="13" x14ac:dyDescent="0.15">
      <c r="A673" s="15"/>
      <c r="D673" s="10"/>
      <c r="E673" s="10"/>
      <c r="F673" s="14"/>
      <c r="G673" s="14"/>
      <c r="H673" s="14"/>
      <c r="I673" s="14"/>
      <c r="J673" s="14"/>
      <c r="K673" s="14"/>
      <c r="L673" s="14"/>
      <c r="M673" s="15"/>
      <c r="N673" s="12"/>
    </row>
    <row r="674" spans="1:14" ht="13" x14ac:dyDescent="0.15">
      <c r="A674" s="15"/>
      <c r="D674" s="10"/>
      <c r="E674" s="10"/>
      <c r="F674" s="14"/>
      <c r="G674" s="14"/>
      <c r="H674" s="14"/>
      <c r="I674" s="14"/>
      <c r="J674" s="14"/>
      <c r="K674" s="14"/>
      <c r="L674" s="14"/>
      <c r="M674" s="15"/>
      <c r="N674" s="12"/>
    </row>
    <row r="675" spans="1:14" ht="13" x14ac:dyDescent="0.15">
      <c r="A675" s="15"/>
      <c r="D675" s="10"/>
      <c r="E675" s="10"/>
      <c r="F675" s="14"/>
      <c r="G675" s="14"/>
      <c r="H675" s="14"/>
      <c r="I675" s="14"/>
      <c r="J675" s="14"/>
      <c r="K675" s="14"/>
      <c r="L675" s="14"/>
      <c r="M675" s="15"/>
      <c r="N675" s="12"/>
    </row>
    <row r="676" spans="1:14" ht="13" x14ac:dyDescent="0.15">
      <c r="A676" s="15"/>
      <c r="D676" s="10"/>
      <c r="E676" s="10"/>
      <c r="F676" s="14"/>
      <c r="G676" s="14"/>
      <c r="H676" s="14"/>
      <c r="I676" s="14"/>
      <c r="J676" s="14"/>
      <c r="K676" s="14"/>
      <c r="L676" s="14"/>
      <c r="M676" s="15"/>
      <c r="N676" s="12"/>
    </row>
    <row r="677" spans="1:14" ht="13" x14ac:dyDescent="0.15">
      <c r="A677" s="15"/>
      <c r="D677" s="10"/>
      <c r="E677" s="10"/>
      <c r="F677" s="14"/>
      <c r="G677" s="14"/>
      <c r="H677" s="14"/>
      <c r="I677" s="14"/>
      <c r="J677" s="14"/>
      <c r="K677" s="14"/>
      <c r="L677" s="14"/>
      <c r="M677" s="15"/>
      <c r="N677" s="12"/>
    </row>
    <row r="678" spans="1:14" ht="13" x14ac:dyDescent="0.15">
      <c r="A678" s="15"/>
      <c r="D678" s="10"/>
      <c r="E678" s="10"/>
      <c r="F678" s="14"/>
      <c r="G678" s="14"/>
      <c r="H678" s="14"/>
      <c r="I678" s="14"/>
      <c r="J678" s="14"/>
      <c r="K678" s="14"/>
      <c r="L678" s="14"/>
      <c r="M678" s="15"/>
      <c r="N678" s="12"/>
    </row>
    <row r="679" spans="1:14" ht="13" x14ac:dyDescent="0.15">
      <c r="A679" s="15"/>
      <c r="D679" s="10"/>
      <c r="E679" s="10"/>
      <c r="F679" s="14"/>
      <c r="G679" s="14"/>
      <c r="H679" s="14"/>
      <c r="I679" s="14"/>
      <c r="J679" s="14"/>
      <c r="K679" s="14"/>
      <c r="L679" s="14"/>
      <c r="M679" s="15"/>
      <c r="N679" s="12"/>
    </row>
    <row r="680" spans="1:14" ht="13" x14ac:dyDescent="0.15">
      <c r="A680" s="15"/>
      <c r="D680" s="10"/>
      <c r="E680" s="10"/>
      <c r="F680" s="14"/>
      <c r="G680" s="14"/>
      <c r="H680" s="14"/>
      <c r="I680" s="14"/>
      <c r="J680" s="14"/>
      <c r="K680" s="14"/>
      <c r="L680" s="14"/>
      <c r="M680" s="15"/>
      <c r="N680" s="12"/>
    </row>
    <row r="681" spans="1:14" ht="13" x14ac:dyDescent="0.15">
      <c r="A681" s="15"/>
      <c r="D681" s="10"/>
      <c r="E681" s="10"/>
      <c r="F681" s="14"/>
      <c r="G681" s="14"/>
      <c r="H681" s="14"/>
      <c r="I681" s="14"/>
      <c r="J681" s="14"/>
      <c r="K681" s="14"/>
      <c r="L681" s="14"/>
      <c r="M681" s="15"/>
      <c r="N681" s="12"/>
    </row>
    <row r="682" spans="1:14" ht="13" x14ac:dyDescent="0.15">
      <c r="A682" s="15"/>
      <c r="D682" s="10"/>
      <c r="E682" s="10"/>
      <c r="F682" s="14"/>
      <c r="G682" s="14"/>
      <c r="H682" s="14"/>
      <c r="I682" s="14"/>
      <c r="J682" s="14"/>
      <c r="K682" s="14"/>
      <c r="L682" s="14"/>
      <c r="M682" s="15"/>
      <c r="N682" s="12"/>
    </row>
    <row r="683" spans="1:14" ht="13" x14ac:dyDescent="0.15">
      <c r="A683" s="15"/>
      <c r="D683" s="10"/>
      <c r="E683" s="10"/>
      <c r="F683" s="14"/>
      <c r="G683" s="14"/>
      <c r="H683" s="14"/>
      <c r="I683" s="14"/>
      <c r="J683" s="14"/>
      <c r="K683" s="14"/>
      <c r="L683" s="14"/>
      <c r="M683" s="15"/>
      <c r="N683" s="12"/>
    </row>
    <row r="684" spans="1:14" ht="13" x14ac:dyDescent="0.15">
      <c r="A684" s="15"/>
      <c r="D684" s="10"/>
      <c r="E684" s="10"/>
      <c r="F684" s="14"/>
      <c r="G684" s="14"/>
      <c r="H684" s="14"/>
      <c r="I684" s="14"/>
      <c r="J684" s="14"/>
      <c r="K684" s="14"/>
      <c r="L684" s="14"/>
      <c r="M684" s="15"/>
      <c r="N684" s="12"/>
    </row>
    <row r="685" spans="1:14" ht="13" x14ac:dyDescent="0.15">
      <c r="A685" s="15"/>
      <c r="D685" s="10"/>
      <c r="E685" s="10"/>
      <c r="F685" s="14"/>
      <c r="G685" s="14"/>
      <c r="H685" s="14"/>
      <c r="I685" s="14"/>
      <c r="J685" s="14"/>
      <c r="K685" s="14"/>
      <c r="L685" s="14"/>
      <c r="M685" s="15"/>
      <c r="N685" s="12"/>
    </row>
    <row r="686" spans="1:14" ht="13" x14ac:dyDescent="0.15">
      <c r="A686" s="15"/>
      <c r="D686" s="10"/>
      <c r="E686" s="10"/>
      <c r="F686" s="14"/>
      <c r="G686" s="14"/>
      <c r="H686" s="14"/>
      <c r="I686" s="14"/>
      <c r="J686" s="14"/>
      <c r="K686" s="14"/>
      <c r="L686" s="14"/>
      <c r="M686" s="15"/>
      <c r="N686" s="12"/>
    </row>
    <row r="687" spans="1:14" ht="13" x14ac:dyDescent="0.15">
      <c r="A687" s="15"/>
      <c r="D687" s="10"/>
      <c r="E687" s="10"/>
      <c r="F687" s="14"/>
      <c r="G687" s="14"/>
      <c r="H687" s="14"/>
      <c r="I687" s="14"/>
      <c r="J687" s="14"/>
      <c r="K687" s="14"/>
      <c r="L687" s="14"/>
      <c r="M687" s="15"/>
      <c r="N687" s="12"/>
    </row>
    <row r="688" spans="1:14" ht="13" x14ac:dyDescent="0.15">
      <c r="A688" s="15"/>
      <c r="D688" s="10"/>
      <c r="E688" s="10"/>
      <c r="F688" s="14"/>
      <c r="G688" s="14"/>
      <c r="H688" s="14"/>
      <c r="I688" s="14"/>
      <c r="J688" s="14"/>
      <c r="K688" s="14"/>
      <c r="L688" s="14"/>
      <c r="M688" s="15"/>
      <c r="N688" s="12"/>
    </row>
    <row r="689" spans="1:14" ht="13" x14ac:dyDescent="0.15">
      <c r="A689" s="15"/>
      <c r="D689" s="10"/>
      <c r="E689" s="10"/>
      <c r="F689" s="14"/>
      <c r="G689" s="14"/>
      <c r="H689" s="14"/>
      <c r="I689" s="14"/>
      <c r="J689" s="14"/>
      <c r="K689" s="14"/>
      <c r="L689" s="14"/>
      <c r="M689" s="15"/>
      <c r="N689" s="12"/>
    </row>
    <row r="690" spans="1:14" ht="13" x14ac:dyDescent="0.15">
      <c r="A690" s="15"/>
      <c r="D690" s="10"/>
      <c r="E690" s="10"/>
      <c r="F690" s="14"/>
      <c r="G690" s="14"/>
      <c r="H690" s="14"/>
      <c r="I690" s="14"/>
      <c r="J690" s="14"/>
      <c r="K690" s="14"/>
      <c r="L690" s="14"/>
      <c r="M690" s="15"/>
      <c r="N690" s="12"/>
    </row>
    <row r="691" spans="1:14" ht="13" x14ac:dyDescent="0.15">
      <c r="A691" s="15"/>
      <c r="D691" s="10"/>
      <c r="E691" s="10"/>
      <c r="F691" s="14"/>
      <c r="G691" s="14"/>
      <c r="H691" s="14"/>
      <c r="I691" s="14"/>
      <c r="J691" s="14"/>
      <c r="K691" s="14"/>
      <c r="L691" s="14"/>
      <c r="M691" s="15"/>
      <c r="N691" s="12"/>
    </row>
    <row r="692" spans="1:14" ht="13" x14ac:dyDescent="0.15">
      <c r="A692" s="15"/>
      <c r="D692" s="10"/>
      <c r="E692" s="10"/>
      <c r="F692" s="14"/>
      <c r="G692" s="14"/>
      <c r="H692" s="14"/>
      <c r="I692" s="14"/>
      <c r="J692" s="14"/>
      <c r="K692" s="14"/>
      <c r="L692" s="14"/>
      <c r="M692" s="15"/>
      <c r="N692" s="12"/>
    </row>
    <row r="693" spans="1:14" ht="13" x14ac:dyDescent="0.15">
      <c r="A693" s="15"/>
      <c r="D693" s="10"/>
      <c r="E693" s="10"/>
      <c r="F693" s="14"/>
      <c r="G693" s="14"/>
      <c r="H693" s="14"/>
      <c r="I693" s="14"/>
      <c r="J693" s="14"/>
      <c r="K693" s="14"/>
      <c r="L693" s="14"/>
      <c r="M693" s="15"/>
      <c r="N693" s="12"/>
    </row>
    <row r="694" spans="1:14" ht="13" x14ac:dyDescent="0.15">
      <c r="A694" s="15"/>
      <c r="D694" s="10"/>
      <c r="E694" s="10"/>
      <c r="F694" s="14"/>
      <c r="G694" s="14"/>
      <c r="H694" s="14"/>
      <c r="I694" s="14"/>
      <c r="J694" s="14"/>
      <c r="K694" s="14"/>
      <c r="L694" s="14"/>
      <c r="M694" s="15"/>
      <c r="N694" s="12"/>
    </row>
    <row r="695" spans="1:14" ht="13" x14ac:dyDescent="0.15">
      <c r="A695" s="15"/>
      <c r="D695" s="10"/>
      <c r="E695" s="10"/>
      <c r="F695" s="14"/>
      <c r="G695" s="14"/>
      <c r="H695" s="14"/>
      <c r="I695" s="14"/>
      <c r="J695" s="14"/>
      <c r="K695" s="14"/>
      <c r="L695" s="14"/>
      <c r="M695" s="15"/>
      <c r="N695" s="12"/>
    </row>
    <row r="696" spans="1:14" ht="13" x14ac:dyDescent="0.15">
      <c r="A696" s="15"/>
      <c r="D696" s="10"/>
      <c r="E696" s="10"/>
      <c r="F696" s="14"/>
      <c r="G696" s="14"/>
      <c r="H696" s="14"/>
      <c r="I696" s="14"/>
      <c r="J696" s="14"/>
      <c r="K696" s="14"/>
      <c r="L696" s="14"/>
      <c r="M696" s="15"/>
      <c r="N696" s="12"/>
    </row>
    <row r="697" spans="1:14" ht="13" x14ac:dyDescent="0.15">
      <c r="A697" s="15"/>
      <c r="D697" s="10"/>
      <c r="E697" s="10"/>
      <c r="F697" s="14"/>
      <c r="G697" s="14"/>
      <c r="H697" s="14"/>
      <c r="I697" s="14"/>
      <c r="J697" s="14"/>
      <c r="K697" s="14"/>
      <c r="L697" s="14"/>
      <c r="M697" s="15"/>
      <c r="N697" s="12"/>
    </row>
    <row r="698" spans="1:14" ht="13" x14ac:dyDescent="0.15">
      <c r="A698" s="15"/>
      <c r="D698" s="10"/>
      <c r="E698" s="10"/>
      <c r="F698" s="14"/>
      <c r="G698" s="14"/>
      <c r="H698" s="14"/>
      <c r="I698" s="14"/>
      <c r="J698" s="14"/>
      <c r="K698" s="14"/>
      <c r="L698" s="14"/>
      <c r="M698" s="15"/>
      <c r="N698" s="12"/>
    </row>
    <row r="699" spans="1:14" ht="13" x14ac:dyDescent="0.15">
      <c r="A699" s="15"/>
      <c r="D699" s="10"/>
      <c r="E699" s="10"/>
      <c r="F699" s="14"/>
      <c r="G699" s="14"/>
      <c r="H699" s="14"/>
      <c r="I699" s="14"/>
      <c r="J699" s="14"/>
      <c r="K699" s="14"/>
      <c r="L699" s="14"/>
      <c r="M699" s="15"/>
      <c r="N699" s="12"/>
    </row>
    <row r="700" spans="1:14" ht="13" x14ac:dyDescent="0.15">
      <c r="A700" s="15"/>
      <c r="D700" s="10"/>
      <c r="E700" s="10"/>
      <c r="F700" s="14"/>
      <c r="G700" s="14"/>
      <c r="H700" s="14"/>
      <c r="I700" s="14"/>
      <c r="J700" s="14"/>
      <c r="K700" s="14"/>
      <c r="L700" s="14"/>
      <c r="M700" s="15"/>
      <c r="N700" s="12"/>
    </row>
    <row r="701" spans="1:14" ht="13" x14ac:dyDescent="0.15">
      <c r="A701" s="15"/>
      <c r="D701" s="10"/>
      <c r="E701" s="10"/>
      <c r="F701" s="14"/>
      <c r="G701" s="14"/>
      <c r="H701" s="14"/>
      <c r="I701" s="14"/>
      <c r="J701" s="14"/>
      <c r="K701" s="14"/>
      <c r="L701" s="14"/>
      <c r="M701" s="15"/>
      <c r="N701" s="12"/>
    </row>
    <row r="702" spans="1:14" ht="13" x14ac:dyDescent="0.15">
      <c r="A702" s="15"/>
      <c r="D702" s="10"/>
      <c r="E702" s="10"/>
      <c r="F702" s="14"/>
      <c r="G702" s="14"/>
      <c r="H702" s="14"/>
      <c r="I702" s="14"/>
      <c r="J702" s="14"/>
      <c r="K702" s="14"/>
      <c r="L702" s="14"/>
      <c r="M702" s="15"/>
      <c r="N702" s="12"/>
    </row>
    <row r="703" spans="1:14" ht="13" x14ac:dyDescent="0.15">
      <c r="A703" s="15"/>
      <c r="D703" s="10"/>
      <c r="E703" s="10"/>
      <c r="F703" s="14"/>
      <c r="G703" s="14"/>
      <c r="H703" s="14"/>
      <c r="I703" s="14"/>
      <c r="J703" s="14"/>
      <c r="K703" s="14"/>
      <c r="L703" s="14"/>
      <c r="M703" s="15"/>
      <c r="N703" s="12"/>
    </row>
    <row r="704" spans="1:14" ht="13" x14ac:dyDescent="0.15">
      <c r="A704" s="15"/>
      <c r="D704" s="10"/>
      <c r="E704" s="10"/>
      <c r="F704" s="14"/>
      <c r="G704" s="14"/>
      <c r="H704" s="14"/>
      <c r="I704" s="14"/>
      <c r="J704" s="14"/>
      <c r="K704" s="14"/>
      <c r="L704" s="14"/>
      <c r="M704" s="15"/>
      <c r="N704" s="12"/>
    </row>
    <row r="705" spans="1:14" ht="13" x14ac:dyDescent="0.15">
      <c r="A705" s="15"/>
      <c r="D705" s="10"/>
      <c r="E705" s="10"/>
      <c r="F705" s="14"/>
      <c r="G705" s="14"/>
      <c r="H705" s="14"/>
      <c r="I705" s="14"/>
      <c r="J705" s="14"/>
      <c r="K705" s="14"/>
      <c r="L705" s="14"/>
      <c r="M705" s="15"/>
      <c r="N705" s="12"/>
    </row>
    <row r="706" spans="1:14" ht="13" x14ac:dyDescent="0.15">
      <c r="A706" s="15"/>
      <c r="D706" s="10"/>
      <c r="E706" s="10"/>
      <c r="F706" s="14"/>
      <c r="G706" s="14"/>
      <c r="H706" s="14"/>
      <c r="I706" s="14"/>
      <c r="J706" s="14"/>
      <c r="K706" s="14"/>
      <c r="L706" s="14"/>
      <c r="M706" s="15"/>
      <c r="N706" s="12"/>
    </row>
    <row r="707" spans="1:14" ht="13" x14ac:dyDescent="0.15">
      <c r="A707" s="15"/>
      <c r="D707" s="10"/>
      <c r="E707" s="10"/>
      <c r="F707" s="14"/>
      <c r="G707" s="14"/>
      <c r="H707" s="14"/>
      <c r="I707" s="14"/>
      <c r="J707" s="14"/>
      <c r="K707" s="14"/>
      <c r="L707" s="14"/>
      <c r="M707" s="15"/>
      <c r="N707" s="12"/>
    </row>
    <row r="708" spans="1:14" ht="13" x14ac:dyDescent="0.15">
      <c r="A708" s="15"/>
      <c r="D708" s="10"/>
      <c r="E708" s="10"/>
      <c r="F708" s="14"/>
      <c r="G708" s="14"/>
      <c r="H708" s="14"/>
      <c r="I708" s="14"/>
      <c r="J708" s="14"/>
      <c r="K708" s="14"/>
      <c r="L708" s="14"/>
      <c r="M708" s="15"/>
      <c r="N708" s="12"/>
    </row>
    <row r="709" spans="1:14" ht="13" x14ac:dyDescent="0.15">
      <c r="A709" s="15"/>
      <c r="D709" s="10"/>
      <c r="E709" s="10"/>
      <c r="F709" s="14"/>
      <c r="G709" s="14"/>
      <c r="H709" s="14"/>
      <c r="I709" s="14"/>
      <c r="J709" s="14"/>
      <c r="K709" s="14"/>
      <c r="L709" s="14"/>
      <c r="M709" s="15"/>
      <c r="N709" s="12"/>
    </row>
    <row r="710" spans="1:14" ht="13" x14ac:dyDescent="0.15">
      <c r="A710" s="15"/>
      <c r="D710" s="10"/>
      <c r="E710" s="10"/>
      <c r="F710" s="14"/>
      <c r="G710" s="14"/>
      <c r="H710" s="14"/>
      <c r="I710" s="14"/>
      <c r="J710" s="14"/>
      <c r="K710" s="14"/>
      <c r="L710" s="14"/>
      <c r="M710" s="15"/>
      <c r="N710" s="12"/>
    </row>
    <row r="711" spans="1:14" ht="13" x14ac:dyDescent="0.15">
      <c r="A711" s="15"/>
      <c r="D711" s="10"/>
      <c r="E711" s="10"/>
      <c r="F711" s="14"/>
      <c r="G711" s="14"/>
      <c r="H711" s="14"/>
      <c r="I711" s="14"/>
      <c r="J711" s="14"/>
      <c r="K711" s="14"/>
      <c r="L711" s="14"/>
      <c r="M711" s="15"/>
      <c r="N711" s="12"/>
    </row>
    <row r="712" spans="1:14" ht="13" x14ac:dyDescent="0.15">
      <c r="A712" s="15"/>
      <c r="D712" s="10"/>
      <c r="E712" s="10"/>
      <c r="F712" s="14"/>
      <c r="G712" s="14"/>
      <c r="H712" s="14"/>
      <c r="I712" s="14"/>
      <c r="J712" s="14"/>
      <c r="K712" s="14"/>
      <c r="L712" s="14"/>
      <c r="M712" s="15"/>
      <c r="N712" s="12"/>
    </row>
    <row r="713" spans="1:14" ht="13" x14ac:dyDescent="0.15">
      <c r="A713" s="15"/>
      <c r="D713" s="10"/>
      <c r="E713" s="10"/>
      <c r="F713" s="14"/>
      <c r="G713" s="14"/>
      <c r="H713" s="14"/>
      <c r="I713" s="14"/>
      <c r="J713" s="14"/>
      <c r="K713" s="14"/>
      <c r="L713" s="14"/>
      <c r="M713" s="15"/>
      <c r="N713" s="12"/>
    </row>
    <row r="714" spans="1:14" ht="13" x14ac:dyDescent="0.15">
      <c r="A714" s="15"/>
      <c r="D714" s="10"/>
      <c r="E714" s="10"/>
      <c r="F714" s="14"/>
      <c r="G714" s="14"/>
      <c r="H714" s="14"/>
      <c r="I714" s="14"/>
      <c r="J714" s="14"/>
      <c r="K714" s="14"/>
      <c r="L714" s="14"/>
      <c r="M714" s="15"/>
      <c r="N714" s="12"/>
    </row>
    <row r="715" spans="1:14" ht="13" x14ac:dyDescent="0.15">
      <c r="A715" s="15"/>
      <c r="D715" s="10"/>
      <c r="E715" s="10"/>
      <c r="F715" s="14"/>
      <c r="G715" s="14"/>
      <c r="H715" s="14"/>
      <c r="I715" s="14"/>
      <c r="J715" s="14"/>
      <c r="K715" s="14"/>
      <c r="L715" s="14"/>
      <c r="M715" s="15"/>
      <c r="N715" s="12"/>
    </row>
    <row r="716" spans="1:14" ht="13" x14ac:dyDescent="0.15">
      <c r="A716" s="15"/>
      <c r="D716" s="10"/>
      <c r="E716" s="10"/>
      <c r="F716" s="14"/>
      <c r="G716" s="14"/>
      <c r="H716" s="14"/>
      <c r="I716" s="14"/>
      <c r="J716" s="14"/>
      <c r="K716" s="14"/>
      <c r="L716" s="14"/>
      <c r="M716" s="15"/>
      <c r="N716" s="12"/>
    </row>
    <row r="717" spans="1:14" ht="13" x14ac:dyDescent="0.15">
      <c r="A717" s="15"/>
      <c r="D717" s="10"/>
      <c r="E717" s="10"/>
      <c r="F717" s="14"/>
      <c r="G717" s="14"/>
      <c r="H717" s="14"/>
      <c r="I717" s="14"/>
      <c r="J717" s="14"/>
      <c r="K717" s="14"/>
      <c r="L717" s="14"/>
      <c r="M717" s="15"/>
      <c r="N717" s="12"/>
    </row>
    <row r="718" spans="1:14" ht="13" x14ac:dyDescent="0.15">
      <c r="A718" s="15"/>
      <c r="D718" s="10"/>
      <c r="E718" s="10"/>
      <c r="F718" s="14"/>
      <c r="G718" s="14"/>
      <c r="H718" s="14"/>
      <c r="I718" s="14"/>
      <c r="J718" s="14"/>
      <c r="K718" s="14"/>
      <c r="L718" s="14"/>
      <c r="M718" s="15"/>
      <c r="N718" s="12"/>
    </row>
    <row r="719" spans="1:14" ht="13" x14ac:dyDescent="0.15">
      <c r="A719" s="15"/>
      <c r="D719" s="10"/>
      <c r="E719" s="10"/>
      <c r="F719" s="14"/>
      <c r="G719" s="14"/>
      <c r="H719" s="14"/>
      <c r="I719" s="14"/>
      <c r="J719" s="14"/>
      <c r="K719" s="14"/>
      <c r="L719" s="14"/>
      <c r="M719" s="15"/>
      <c r="N719" s="12"/>
    </row>
    <row r="720" spans="1:14" ht="13" x14ac:dyDescent="0.15">
      <c r="A720" s="15"/>
      <c r="D720" s="10"/>
      <c r="E720" s="10"/>
      <c r="F720" s="14"/>
      <c r="G720" s="14"/>
      <c r="H720" s="14"/>
      <c r="I720" s="14"/>
      <c r="J720" s="14"/>
      <c r="K720" s="14"/>
      <c r="L720" s="14"/>
      <c r="M720" s="15"/>
      <c r="N720" s="12"/>
    </row>
    <row r="721" spans="1:14" ht="13" x14ac:dyDescent="0.15">
      <c r="A721" s="15"/>
      <c r="D721" s="10"/>
      <c r="E721" s="10"/>
      <c r="F721" s="14"/>
      <c r="G721" s="14"/>
      <c r="H721" s="14"/>
      <c r="I721" s="14"/>
      <c r="J721" s="14"/>
      <c r="K721" s="14"/>
      <c r="L721" s="14"/>
      <c r="M721" s="15"/>
      <c r="N721" s="12"/>
    </row>
    <row r="722" spans="1:14" ht="13" x14ac:dyDescent="0.15">
      <c r="A722" s="15"/>
      <c r="D722" s="10"/>
      <c r="E722" s="10"/>
      <c r="F722" s="14"/>
      <c r="G722" s="14"/>
      <c r="H722" s="14"/>
      <c r="I722" s="14"/>
      <c r="J722" s="14"/>
      <c r="K722" s="14"/>
      <c r="L722" s="14"/>
      <c r="M722" s="15"/>
      <c r="N722" s="12"/>
    </row>
    <row r="723" spans="1:14" ht="13" x14ac:dyDescent="0.15">
      <c r="A723" s="15"/>
      <c r="D723" s="10"/>
      <c r="E723" s="10"/>
      <c r="F723" s="14"/>
      <c r="G723" s="14"/>
      <c r="H723" s="14"/>
      <c r="I723" s="14"/>
      <c r="J723" s="14"/>
      <c r="K723" s="14"/>
      <c r="L723" s="14"/>
      <c r="M723" s="15"/>
      <c r="N723" s="12"/>
    </row>
    <row r="724" spans="1:14" ht="13" x14ac:dyDescent="0.15">
      <c r="A724" s="15"/>
      <c r="D724" s="10"/>
      <c r="E724" s="10"/>
      <c r="F724" s="14"/>
      <c r="G724" s="14"/>
      <c r="H724" s="14"/>
      <c r="I724" s="14"/>
      <c r="J724" s="14"/>
      <c r="K724" s="14"/>
      <c r="L724" s="14"/>
      <c r="M724" s="15"/>
      <c r="N724" s="12"/>
    </row>
    <row r="725" spans="1:14" ht="13" x14ac:dyDescent="0.15">
      <c r="A725" s="15"/>
      <c r="D725" s="10"/>
      <c r="E725" s="10"/>
      <c r="F725" s="14"/>
      <c r="G725" s="14"/>
      <c r="H725" s="14"/>
      <c r="I725" s="14"/>
      <c r="J725" s="14"/>
      <c r="K725" s="14"/>
      <c r="L725" s="14"/>
      <c r="M725" s="15"/>
      <c r="N725" s="12"/>
    </row>
    <row r="726" spans="1:14" ht="13" x14ac:dyDescent="0.15">
      <c r="A726" s="15"/>
      <c r="D726" s="10"/>
      <c r="E726" s="10"/>
      <c r="F726" s="14"/>
      <c r="G726" s="14"/>
      <c r="H726" s="14"/>
      <c r="I726" s="14"/>
      <c r="J726" s="14"/>
      <c r="K726" s="14"/>
      <c r="L726" s="14"/>
      <c r="M726" s="15"/>
      <c r="N726" s="12"/>
    </row>
    <row r="727" spans="1:14" ht="13" x14ac:dyDescent="0.15">
      <c r="A727" s="15"/>
      <c r="D727" s="10"/>
      <c r="E727" s="10"/>
      <c r="F727" s="14"/>
      <c r="G727" s="14"/>
      <c r="H727" s="14"/>
      <c r="I727" s="14"/>
      <c r="J727" s="14"/>
      <c r="K727" s="14"/>
      <c r="L727" s="14"/>
      <c r="M727" s="15"/>
      <c r="N727" s="12"/>
    </row>
    <row r="728" spans="1:14" ht="13" x14ac:dyDescent="0.15">
      <c r="A728" s="15"/>
      <c r="D728" s="10"/>
      <c r="E728" s="10"/>
      <c r="F728" s="14"/>
      <c r="G728" s="14"/>
      <c r="H728" s="14"/>
      <c r="I728" s="14"/>
      <c r="J728" s="14"/>
      <c r="K728" s="14"/>
      <c r="L728" s="14"/>
      <c r="M728" s="15"/>
      <c r="N728" s="12"/>
    </row>
    <row r="729" spans="1:14" ht="13" x14ac:dyDescent="0.15">
      <c r="A729" s="15"/>
      <c r="D729" s="10"/>
      <c r="E729" s="10"/>
      <c r="F729" s="14"/>
      <c r="G729" s="14"/>
      <c r="H729" s="14"/>
      <c r="I729" s="14"/>
      <c r="J729" s="14"/>
      <c r="K729" s="14"/>
      <c r="L729" s="14"/>
      <c r="M729" s="15"/>
      <c r="N729" s="12"/>
    </row>
    <row r="730" spans="1:14" ht="13" x14ac:dyDescent="0.15">
      <c r="A730" s="15"/>
      <c r="D730" s="10"/>
      <c r="E730" s="10"/>
      <c r="F730" s="14"/>
      <c r="G730" s="14"/>
      <c r="H730" s="14"/>
      <c r="I730" s="14"/>
      <c r="J730" s="14"/>
      <c r="K730" s="14"/>
      <c r="L730" s="14"/>
      <c r="M730" s="15"/>
      <c r="N730" s="12"/>
    </row>
    <row r="731" spans="1:14" ht="13" x14ac:dyDescent="0.15">
      <c r="A731" s="15"/>
      <c r="D731" s="10"/>
      <c r="E731" s="10"/>
      <c r="F731" s="14"/>
      <c r="G731" s="14"/>
      <c r="H731" s="14"/>
      <c r="I731" s="14"/>
      <c r="J731" s="14"/>
      <c r="K731" s="14"/>
      <c r="L731" s="14"/>
      <c r="M731" s="15"/>
      <c r="N731" s="12"/>
    </row>
    <row r="732" spans="1:14" ht="13" x14ac:dyDescent="0.15">
      <c r="A732" s="15"/>
      <c r="D732" s="10"/>
      <c r="E732" s="10"/>
      <c r="F732" s="14"/>
      <c r="G732" s="14"/>
      <c r="H732" s="14"/>
      <c r="I732" s="14"/>
      <c r="J732" s="14"/>
      <c r="K732" s="14"/>
      <c r="L732" s="14"/>
      <c r="M732" s="15"/>
      <c r="N732" s="12"/>
    </row>
    <row r="733" spans="1:14" ht="13" x14ac:dyDescent="0.15">
      <c r="A733" s="15"/>
      <c r="D733" s="10"/>
      <c r="E733" s="10"/>
      <c r="F733" s="14"/>
      <c r="G733" s="14"/>
      <c r="H733" s="14"/>
      <c r="I733" s="14"/>
      <c r="J733" s="14"/>
      <c r="K733" s="14"/>
      <c r="L733" s="14"/>
      <c r="M733" s="15"/>
      <c r="N733" s="12"/>
    </row>
    <row r="734" spans="1:14" ht="13" x14ac:dyDescent="0.15">
      <c r="A734" s="15"/>
      <c r="D734" s="10"/>
      <c r="E734" s="10"/>
      <c r="F734" s="14"/>
      <c r="G734" s="14"/>
      <c r="H734" s="14"/>
      <c r="I734" s="14"/>
      <c r="J734" s="14"/>
      <c r="K734" s="14"/>
      <c r="L734" s="14"/>
      <c r="M734" s="15"/>
      <c r="N734" s="12"/>
    </row>
    <row r="735" spans="1:14" ht="13" x14ac:dyDescent="0.15">
      <c r="A735" s="15"/>
      <c r="D735" s="10"/>
      <c r="E735" s="10"/>
      <c r="F735" s="14"/>
      <c r="G735" s="14"/>
      <c r="H735" s="14"/>
      <c r="I735" s="14"/>
      <c r="J735" s="14"/>
      <c r="K735" s="14"/>
      <c r="L735" s="14"/>
      <c r="M735" s="15"/>
      <c r="N735" s="12"/>
    </row>
    <row r="736" spans="1:14" ht="13" x14ac:dyDescent="0.15">
      <c r="A736" s="15"/>
      <c r="D736" s="10"/>
      <c r="E736" s="10"/>
      <c r="F736" s="14"/>
      <c r="G736" s="14"/>
      <c r="H736" s="14"/>
      <c r="I736" s="14"/>
      <c r="J736" s="14"/>
      <c r="K736" s="14"/>
      <c r="L736" s="14"/>
      <c r="M736" s="15"/>
      <c r="N736" s="12"/>
    </row>
    <row r="737" spans="1:14" ht="13" x14ac:dyDescent="0.15">
      <c r="A737" s="15"/>
      <c r="D737" s="10"/>
      <c r="E737" s="10"/>
      <c r="F737" s="14"/>
      <c r="G737" s="14"/>
      <c r="H737" s="14"/>
      <c r="I737" s="14"/>
      <c r="J737" s="14"/>
      <c r="K737" s="14"/>
      <c r="L737" s="14"/>
      <c r="M737" s="15"/>
      <c r="N737" s="12"/>
    </row>
    <row r="738" spans="1:14" ht="13" x14ac:dyDescent="0.15">
      <c r="A738" s="15"/>
      <c r="D738" s="10"/>
      <c r="E738" s="10"/>
      <c r="F738" s="14"/>
      <c r="G738" s="14"/>
      <c r="H738" s="14"/>
      <c r="I738" s="14"/>
      <c r="J738" s="14"/>
      <c r="K738" s="14"/>
      <c r="L738" s="14"/>
      <c r="M738" s="15"/>
      <c r="N738" s="12"/>
    </row>
    <row r="739" spans="1:14" ht="13" x14ac:dyDescent="0.15">
      <c r="A739" s="15"/>
      <c r="D739" s="10"/>
      <c r="E739" s="10"/>
      <c r="F739" s="14"/>
      <c r="G739" s="14"/>
      <c r="H739" s="14"/>
      <c r="I739" s="14"/>
      <c r="J739" s="14"/>
      <c r="K739" s="14"/>
      <c r="L739" s="14"/>
      <c r="M739" s="15"/>
      <c r="N739" s="12"/>
    </row>
    <row r="740" spans="1:14" ht="13" x14ac:dyDescent="0.15">
      <c r="A740" s="15"/>
      <c r="D740" s="10"/>
      <c r="E740" s="10"/>
      <c r="F740" s="14"/>
      <c r="G740" s="14"/>
      <c r="H740" s="14"/>
      <c r="I740" s="14"/>
      <c r="J740" s="14"/>
      <c r="K740" s="14"/>
      <c r="L740" s="14"/>
      <c r="M740" s="15"/>
      <c r="N740" s="12"/>
    </row>
    <row r="741" spans="1:14" ht="13" x14ac:dyDescent="0.15">
      <c r="A741" s="15"/>
      <c r="D741" s="10"/>
      <c r="E741" s="10"/>
      <c r="F741" s="14"/>
      <c r="G741" s="14"/>
      <c r="H741" s="14"/>
      <c r="I741" s="14"/>
      <c r="J741" s="14"/>
      <c r="K741" s="14"/>
      <c r="L741" s="14"/>
      <c r="M741" s="15"/>
      <c r="N741" s="12"/>
    </row>
    <row r="742" spans="1:14" ht="13" x14ac:dyDescent="0.15">
      <c r="A742" s="15"/>
      <c r="D742" s="10"/>
      <c r="E742" s="10"/>
      <c r="F742" s="14"/>
      <c r="G742" s="14"/>
      <c r="H742" s="14"/>
      <c r="I742" s="14"/>
      <c r="J742" s="14"/>
      <c r="K742" s="14"/>
      <c r="L742" s="14"/>
      <c r="M742" s="15"/>
      <c r="N742" s="12"/>
    </row>
    <row r="743" spans="1:14" ht="13" x14ac:dyDescent="0.15">
      <c r="A743" s="15"/>
      <c r="D743" s="10"/>
      <c r="E743" s="10"/>
      <c r="F743" s="14"/>
      <c r="G743" s="14"/>
      <c r="H743" s="14"/>
      <c r="I743" s="14"/>
      <c r="J743" s="14"/>
      <c r="K743" s="14"/>
      <c r="L743" s="14"/>
      <c r="M743" s="15"/>
      <c r="N743" s="12"/>
    </row>
    <row r="744" spans="1:14" ht="13" x14ac:dyDescent="0.15">
      <c r="A744" s="15"/>
      <c r="D744" s="10"/>
      <c r="E744" s="10"/>
      <c r="F744" s="14"/>
      <c r="G744" s="14"/>
      <c r="H744" s="14"/>
      <c r="I744" s="14"/>
      <c r="J744" s="14"/>
      <c r="K744" s="14"/>
      <c r="L744" s="14"/>
      <c r="M744" s="15"/>
      <c r="N744" s="12"/>
    </row>
    <row r="745" spans="1:14" ht="13" x14ac:dyDescent="0.15">
      <c r="A745" s="15"/>
      <c r="D745" s="10"/>
      <c r="E745" s="10"/>
      <c r="F745" s="14"/>
      <c r="G745" s="14"/>
      <c r="H745" s="14"/>
      <c r="I745" s="14"/>
      <c r="J745" s="14"/>
      <c r="K745" s="14"/>
      <c r="L745" s="14"/>
      <c r="M745" s="15"/>
      <c r="N745" s="12"/>
    </row>
    <row r="746" spans="1:14" ht="13" x14ac:dyDescent="0.15">
      <c r="A746" s="15"/>
      <c r="D746" s="10"/>
      <c r="E746" s="10"/>
      <c r="F746" s="14"/>
      <c r="G746" s="14"/>
      <c r="H746" s="14"/>
      <c r="I746" s="14"/>
      <c r="J746" s="14"/>
      <c r="K746" s="14"/>
      <c r="L746" s="14"/>
      <c r="M746" s="15"/>
      <c r="N746" s="12"/>
    </row>
    <row r="747" spans="1:14" ht="13" x14ac:dyDescent="0.15">
      <c r="A747" s="15"/>
      <c r="D747" s="10"/>
      <c r="E747" s="10"/>
      <c r="F747" s="14"/>
      <c r="G747" s="14"/>
      <c r="H747" s="14"/>
      <c r="I747" s="14"/>
      <c r="J747" s="14"/>
      <c r="K747" s="14"/>
      <c r="L747" s="14"/>
      <c r="M747" s="15"/>
      <c r="N747" s="12"/>
    </row>
    <row r="748" spans="1:14" ht="13" x14ac:dyDescent="0.15">
      <c r="A748" s="15"/>
      <c r="D748" s="10"/>
      <c r="E748" s="10"/>
      <c r="F748" s="14"/>
      <c r="G748" s="14"/>
      <c r="H748" s="14"/>
      <c r="I748" s="14"/>
      <c r="J748" s="14"/>
      <c r="K748" s="14"/>
      <c r="L748" s="14"/>
      <c r="M748" s="15"/>
      <c r="N748" s="12"/>
    </row>
    <row r="749" spans="1:14" ht="13" x14ac:dyDescent="0.15">
      <c r="A749" s="15"/>
      <c r="D749" s="10"/>
      <c r="E749" s="10"/>
      <c r="F749" s="14"/>
      <c r="G749" s="14"/>
      <c r="H749" s="14"/>
      <c r="I749" s="14"/>
      <c r="J749" s="14"/>
      <c r="K749" s="14"/>
      <c r="L749" s="14"/>
      <c r="M749" s="15"/>
      <c r="N749" s="12"/>
    </row>
    <row r="750" spans="1:14" ht="13" x14ac:dyDescent="0.15">
      <c r="A750" s="15"/>
      <c r="D750" s="10"/>
      <c r="E750" s="10"/>
      <c r="F750" s="14"/>
      <c r="G750" s="14"/>
      <c r="H750" s="14"/>
      <c r="I750" s="14"/>
      <c r="J750" s="14"/>
      <c r="K750" s="14"/>
      <c r="L750" s="14"/>
      <c r="M750" s="15"/>
      <c r="N750" s="12"/>
    </row>
    <row r="751" spans="1:14" ht="13" x14ac:dyDescent="0.15">
      <c r="A751" s="15"/>
      <c r="D751" s="10"/>
      <c r="E751" s="10"/>
      <c r="F751" s="14"/>
      <c r="G751" s="14"/>
      <c r="H751" s="14"/>
      <c r="I751" s="14"/>
      <c r="J751" s="14"/>
      <c r="K751" s="14"/>
      <c r="L751" s="14"/>
      <c r="M751" s="15"/>
      <c r="N751" s="12"/>
    </row>
    <row r="752" spans="1:14" ht="13" x14ac:dyDescent="0.15">
      <c r="A752" s="15"/>
      <c r="D752" s="10"/>
      <c r="E752" s="10"/>
      <c r="F752" s="14"/>
      <c r="G752" s="14"/>
      <c r="H752" s="14"/>
      <c r="I752" s="14"/>
      <c r="J752" s="14"/>
      <c r="K752" s="14"/>
      <c r="L752" s="14"/>
      <c r="M752" s="15"/>
      <c r="N752" s="12"/>
    </row>
    <row r="753" spans="1:14" ht="13" x14ac:dyDescent="0.15">
      <c r="A753" s="15"/>
      <c r="D753" s="10"/>
      <c r="E753" s="10"/>
      <c r="F753" s="14"/>
      <c r="G753" s="14"/>
      <c r="H753" s="14"/>
      <c r="I753" s="14"/>
      <c r="J753" s="14"/>
      <c r="K753" s="14"/>
      <c r="L753" s="14"/>
      <c r="M753" s="15"/>
      <c r="N753" s="12"/>
    </row>
    <row r="754" spans="1:14" ht="13" x14ac:dyDescent="0.15">
      <c r="A754" s="15"/>
      <c r="D754" s="10"/>
      <c r="E754" s="10"/>
      <c r="F754" s="14"/>
      <c r="G754" s="14"/>
      <c r="H754" s="14"/>
      <c r="I754" s="14"/>
      <c r="J754" s="14"/>
      <c r="K754" s="14"/>
      <c r="L754" s="14"/>
      <c r="M754" s="15"/>
      <c r="N754" s="12"/>
    </row>
    <row r="755" spans="1:14" ht="13" x14ac:dyDescent="0.15">
      <c r="A755" s="15"/>
      <c r="D755" s="10"/>
      <c r="E755" s="10"/>
      <c r="F755" s="14"/>
      <c r="G755" s="14"/>
      <c r="H755" s="14"/>
      <c r="I755" s="14"/>
      <c r="J755" s="14"/>
      <c r="K755" s="14"/>
      <c r="L755" s="14"/>
      <c r="M755" s="15"/>
      <c r="N755" s="12"/>
    </row>
    <row r="756" spans="1:14" ht="13" x14ac:dyDescent="0.15">
      <c r="A756" s="15"/>
      <c r="D756" s="10"/>
      <c r="E756" s="10"/>
      <c r="F756" s="14"/>
      <c r="G756" s="14"/>
      <c r="H756" s="14"/>
      <c r="I756" s="14"/>
      <c r="J756" s="14"/>
      <c r="K756" s="14"/>
      <c r="L756" s="14"/>
      <c r="M756" s="15"/>
      <c r="N756" s="12"/>
    </row>
    <row r="757" spans="1:14" ht="13" x14ac:dyDescent="0.15">
      <c r="A757" s="15"/>
      <c r="D757" s="10"/>
      <c r="E757" s="10"/>
      <c r="F757" s="14"/>
      <c r="G757" s="14"/>
      <c r="H757" s="14"/>
      <c r="I757" s="14"/>
      <c r="J757" s="14"/>
      <c r="K757" s="14"/>
      <c r="L757" s="14"/>
      <c r="M757" s="15"/>
      <c r="N757" s="12"/>
    </row>
    <row r="758" spans="1:14" ht="13" x14ac:dyDescent="0.15">
      <c r="A758" s="15"/>
      <c r="D758" s="10"/>
      <c r="E758" s="10"/>
      <c r="F758" s="14"/>
      <c r="G758" s="14"/>
      <c r="H758" s="14"/>
      <c r="I758" s="14"/>
      <c r="J758" s="14"/>
      <c r="K758" s="14"/>
      <c r="L758" s="14"/>
      <c r="M758" s="15"/>
      <c r="N758" s="12"/>
    </row>
    <row r="759" spans="1:14" ht="13" x14ac:dyDescent="0.15">
      <c r="A759" s="15"/>
      <c r="D759" s="10"/>
      <c r="E759" s="10"/>
      <c r="F759" s="14"/>
      <c r="G759" s="14"/>
      <c r="H759" s="14"/>
      <c r="I759" s="14"/>
      <c r="J759" s="14"/>
      <c r="K759" s="14"/>
      <c r="L759" s="14"/>
      <c r="M759" s="15"/>
      <c r="N759" s="12"/>
    </row>
    <row r="760" spans="1:14" ht="13" x14ac:dyDescent="0.15">
      <c r="A760" s="15"/>
      <c r="D760" s="10"/>
      <c r="E760" s="10"/>
      <c r="F760" s="14"/>
      <c r="G760" s="14"/>
      <c r="H760" s="14"/>
      <c r="I760" s="14"/>
      <c r="J760" s="14"/>
      <c r="K760" s="14"/>
      <c r="L760" s="14"/>
      <c r="M760" s="15"/>
      <c r="N760" s="12"/>
    </row>
    <row r="761" spans="1:14" ht="13" x14ac:dyDescent="0.15">
      <c r="A761" s="15"/>
      <c r="D761" s="10"/>
      <c r="E761" s="10"/>
      <c r="F761" s="14"/>
      <c r="G761" s="14"/>
      <c r="H761" s="14"/>
      <c r="I761" s="14"/>
      <c r="J761" s="14"/>
      <c r="K761" s="14"/>
      <c r="L761" s="14"/>
      <c r="M761" s="15"/>
      <c r="N761" s="12"/>
    </row>
    <row r="762" spans="1:14" ht="13" x14ac:dyDescent="0.15">
      <c r="A762" s="15"/>
      <c r="D762" s="10"/>
      <c r="E762" s="10"/>
      <c r="F762" s="14"/>
      <c r="G762" s="14"/>
      <c r="H762" s="14"/>
      <c r="I762" s="14"/>
      <c r="J762" s="14"/>
      <c r="K762" s="14"/>
      <c r="L762" s="14"/>
      <c r="M762" s="15"/>
      <c r="N762" s="12"/>
    </row>
    <row r="763" spans="1:14" ht="13" x14ac:dyDescent="0.15">
      <c r="A763" s="15"/>
      <c r="D763" s="10"/>
      <c r="E763" s="10"/>
      <c r="F763" s="14"/>
      <c r="G763" s="14"/>
      <c r="H763" s="14"/>
      <c r="I763" s="14"/>
      <c r="J763" s="14"/>
      <c r="K763" s="14"/>
      <c r="L763" s="14"/>
      <c r="M763" s="15"/>
      <c r="N763" s="12"/>
    </row>
    <row r="764" spans="1:14" ht="13" x14ac:dyDescent="0.15">
      <c r="A764" s="15"/>
      <c r="D764" s="10"/>
      <c r="E764" s="10"/>
      <c r="F764" s="14"/>
      <c r="G764" s="14"/>
      <c r="H764" s="14"/>
      <c r="I764" s="14"/>
      <c r="J764" s="14"/>
      <c r="K764" s="14"/>
      <c r="L764" s="14"/>
      <c r="M764" s="15"/>
      <c r="N764" s="12"/>
    </row>
    <row r="765" spans="1:14" ht="13" x14ac:dyDescent="0.15">
      <c r="A765" s="15"/>
      <c r="D765" s="10"/>
      <c r="E765" s="10"/>
      <c r="F765" s="14"/>
      <c r="G765" s="14"/>
      <c r="H765" s="14"/>
      <c r="I765" s="14"/>
      <c r="J765" s="14"/>
      <c r="K765" s="14"/>
      <c r="L765" s="14"/>
      <c r="M765" s="15"/>
      <c r="N765" s="12"/>
    </row>
    <row r="766" spans="1:14" ht="13" x14ac:dyDescent="0.15">
      <c r="A766" s="15"/>
      <c r="D766" s="10"/>
      <c r="E766" s="10"/>
      <c r="F766" s="14"/>
      <c r="G766" s="14"/>
      <c r="H766" s="14"/>
      <c r="I766" s="14"/>
      <c r="J766" s="14"/>
      <c r="K766" s="14"/>
      <c r="L766" s="14"/>
      <c r="M766" s="15"/>
      <c r="N766" s="12"/>
    </row>
    <row r="767" spans="1:14" ht="13" x14ac:dyDescent="0.15">
      <c r="A767" s="15"/>
      <c r="D767" s="10"/>
      <c r="E767" s="10"/>
      <c r="F767" s="14"/>
      <c r="G767" s="14"/>
      <c r="H767" s="14"/>
      <c r="I767" s="14"/>
      <c r="J767" s="14"/>
      <c r="K767" s="14"/>
      <c r="L767" s="14"/>
      <c r="M767" s="15"/>
      <c r="N767" s="12"/>
    </row>
    <row r="768" spans="1:14" ht="13" x14ac:dyDescent="0.15">
      <c r="A768" s="15"/>
      <c r="D768" s="10"/>
      <c r="E768" s="10"/>
      <c r="F768" s="14"/>
      <c r="G768" s="14"/>
      <c r="H768" s="14"/>
      <c r="I768" s="14"/>
      <c r="J768" s="14"/>
      <c r="K768" s="14"/>
      <c r="L768" s="14"/>
      <c r="M768" s="15"/>
      <c r="N768" s="12"/>
    </row>
    <row r="769" spans="1:14" ht="13" x14ac:dyDescent="0.15">
      <c r="A769" s="15"/>
      <c r="D769" s="10"/>
      <c r="E769" s="10"/>
      <c r="F769" s="14"/>
      <c r="G769" s="14"/>
      <c r="H769" s="14"/>
      <c r="I769" s="14"/>
      <c r="J769" s="14"/>
      <c r="K769" s="14"/>
      <c r="L769" s="14"/>
      <c r="M769" s="15"/>
      <c r="N769" s="12"/>
    </row>
    <row r="770" spans="1:14" ht="13" x14ac:dyDescent="0.15">
      <c r="A770" s="15"/>
      <c r="D770" s="10"/>
      <c r="E770" s="10"/>
      <c r="F770" s="14"/>
      <c r="G770" s="14"/>
      <c r="H770" s="14"/>
      <c r="I770" s="14"/>
      <c r="J770" s="14"/>
      <c r="K770" s="14"/>
      <c r="L770" s="14"/>
      <c r="M770" s="15"/>
      <c r="N770" s="12"/>
    </row>
    <row r="771" spans="1:14" ht="13" x14ac:dyDescent="0.15">
      <c r="A771" s="15"/>
      <c r="D771" s="10"/>
      <c r="E771" s="10"/>
      <c r="F771" s="14"/>
      <c r="G771" s="14"/>
      <c r="H771" s="14"/>
      <c r="I771" s="14"/>
      <c r="J771" s="14"/>
      <c r="K771" s="14"/>
      <c r="L771" s="14"/>
      <c r="M771" s="15"/>
      <c r="N771" s="12"/>
    </row>
    <row r="772" spans="1:14" ht="13" x14ac:dyDescent="0.15">
      <c r="A772" s="15"/>
      <c r="D772" s="10"/>
      <c r="E772" s="10"/>
      <c r="F772" s="14"/>
      <c r="G772" s="14"/>
      <c r="H772" s="14"/>
      <c r="I772" s="14"/>
      <c r="J772" s="14"/>
      <c r="K772" s="14"/>
      <c r="L772" s="14"/>
      <c r="M772" s="15"/>
      <c r="N772" s="12"/>
    </row>
    <row r="773" spans="1:14" ht="13" x14ac:dyDescent="0.15">
      <c r="A773" s="15"/>
      <c r="D773" s="10"/>
      <c r="E773" s="10"/>
      <c r="F773" s="14"/>
      <c r="G773" s="14"/>
      <c r="H773" s="14"/>
      <c r="I773" s="14"/>
      <c r="J773" s="14"/>
      <c r="K773" s="14"/>
      <c r="L773" s="14"/>
      <c r="M773" s="15"/>
      <c r="N773" s="12"/>
    </row>
    <row r="774" spans="1:14" ht="13" x14ac:dyDescent="0.15">
      <c r="A774" s="15"/>
      <c r="D774" s="10"/>
      <c r="E774" s="10"/>
      <c r="F774" s="14"/>
      <c r="G774" s="14"/>
      <c r="H774" s="14"/>
      <c r="I774" s="14"/>
      <c r="J774" s="14"/>
      <c r="K774" s="14"/>
      <c r="L774" s="14"/>
      <c r="M774" s="15"/>
      <c r="N774" s="12"/>
    </row>
    <row r="775" spans="1:14" ht="13" x14ac:dyDescent="0.15">
      <c r="A775" s="15"/>
      <c r="D775" s="10"/>
      <c r="E775" s="10"/>
      <c r="F775" s="14"/>
      <c r="G775" s="14"/>
      <c r="H775" s="14"/>
      <c r="I775" s="14"/>
      <c r="J775" s="14"/>
      <c r="K775" s="14"/>
      <c r="L775" s="14"/>
      <c r="M775" s="15"/>
      <c r="N775" s="12"/>
    </row>
    <row r="776" spans="1:14" ht="13" x14ac:dyDescent="0.15">
      <c r="A776" s="15"/>
      <c r="D776" s="10"/>
      <c r="E776" s="10"/>
      <c r="F776" s="14"/>
      <c r="G776" s="14"/>
      <c r="H776" s="14"/>
      <c r="I776" s="14"/>
      <c r="J776" s="14"/>
      <c r="K776" s="14"/>
      <c r="L776" s="14"/>
      <c r="M776" s="15"/>
      <c r="N776" s="12"/>
    </row>
    <row r="777" spans="1:14" ht="13" x14ac:dyDescent="0.15">
      <c r="A777" s="15"/>
      <c r="D777" s="10"/>
      <c r="E777" s="10"/>
      <c r="F777" s="14"/>
      <c r="G777" s="14"/>
      <c r="H777" s="14"/>
      <c r="I777" s="14"/>
      <c r="J777" s="14"/>
      <c r="K777" s="14"/>
      <c r="L777" s="14"/>
      <c r="M777" s="15"/>
      <c r="N777" s="12"/>
    </row>
    <row r="778" spans="1:14" ht="13" x14ac:dyDescent="0.15">
      <c r="A778" s="15"/>
      <c r="D778" s="10"/>
      <c r="E778" s="10"/>
      <c r="F778" s="14"/>
      <c r="G778" s="14"/>
      <c r="H778" s="14"/>
      <c r="I778" s="14"/>
      <c r="J778" s="14"/>
      <c r="K778" s="14"/>
      <c r="L778" s="14"/>
      <c r="M778" s="15"/>
      <c r="N778" s="12"/>
    </row>
    <row r="779" spans="1:14" ht="13" x14ac:dyDescent="0.15">
      <c r="A779" s="15"/>
      <c r="D779" s="10"/>
      <c r="E779" s="10"/>
      <c r="F779" s="14"/>
      <c r="G779" s="14"/>
      <c r="H779" s="14"/>
      <c r="I779" s="14"/>
      <c r="J779" s="14"/>
      <c r="K779" s="14"/>
      <c r="L779" s="14"/>
      <c r="M779" s="15"/>
      <c r="N779" s="12"/>
    </row>
    <row r="780" spans="1:14" ht="13" x14ac:dyDescent="0.15">
      <c r="A780" s="15"/>
      <c r="D780" s="10"/>
      <c r="E780" s="10"/>
      <c r="F780" s="14"/>
      <c r="G780" s="14"/>
      <c r="H780" s="14"/>
      <c r="I780" s="14"/>
      <c r="J780" s="14"/>
      <c r="K780" s="14"/>
      <c r="L780" s="14"/>
      <c r="M780" s="15"/>
      <c r="N780" s="12"/>
    </row>
    <row r="781" spans="1:14" ht="13" x14ac:dyDescent="0.15">
      <c r="A781" s="15"/>
      <c r="D781" s="10"/>
      <c r="E781" s="10"/>
      <c r="F781" s="14"/>
      <c r="G781" s="14"/>
      <c r="H781" s="14"/>
      <c r="I781" s="14"/>
      <c r="J781" s="14"/>
      <c r="K781" s="14"/>
      <c r="L781" s="14"/>
      <c r="M781" s="15"/>
      <c r="N781" s="12"/>
    </row>
    <row r="782" spans="1:14" ht="13" x14ac:dyDescent="0.15">
      <c r="A782" s="15"/>
      <c r="D782" s="10"/>
      <c r="E782" s="10"/>
      <c r="F782" s="14"/>
      <c r="G782" s="14"/>
      <c r="H782" s="14"/>
      <c r="I782" s="14"/>
      <c r="J782" s="14"/>
      <c r="K782" s="14"/>
      <c r="L782" s="14"/>
      <c r="M782" s="15"/>
      <c r="N782" s="12"/>
    </row>
    <row r="783" spans="1:14" ht="13" x14ac:dyDescent="0.15">
      <c r="A783" s="15"/>
      <c r="D783" s="10"/>
      <c r="E783" s="10"/>
      <c r="F783" s="14"/>
      <c r="G783" s="14"/>
      <c r="H783" s="14"/>
      <c r="I783" s="14"/>
      <c r="J783" s="14"/>
      <c r="K783" s="14"/>
      <c r="L783" s="14"/>
      <c r="M783" s="15"/>
      <c r="N783" s="12"/>
    </row>
    <row r="784" spans="1:14" ht="13" x14ac:dyDescent="0.15">
      <c r="A784" s="15"/>
      <c r="D784" s="10"/>
      <c r="E784" s="10"/>
      <c r="F784" s="14"/>
      <c r="G784" s="14"/>
      <c r="H784" s="14"/>
      <c r="I784" s="14"/>
      <c r="J784" s="14"/>
      <c r="K784" s="14"/>
      <c r="L784" s="14"/>
      <c r="M784" s="15"/>
      <c r="N784" s="12"/>
    </row>
    <row r="785" spans="1:14" ht="13" x14ac:dyDescent="0.15">
      <c r="A785" s="15"/>
      <c r="D785" s="10"/>
      <c r="E785" s="10"/>
      <c r="F785" s="14"/>
      <c r="G785" s="14"/>
      <c r="H785" s="14"/>
      <c r="I785" s="14"/>
      <c r="J785" s="14"/>
      <c r="K785" s="14"/>
      <c r="L785" s="14"/>
      <c r="M785" s="15"/>
      <c r="N785" s="12"/>
    </row>
    <row r="786" spans="1:14" ht="13" x14ac:dyDescent="0.15">
      <c r="A786" s="15"/>
      <c r="D786" s="10"/>
      <c r="E786" s="10"/>
      <c r="F786" s="14"/>
      <c r="G786" s="14"/>
      <c r="H786" s="14"/>
      <c r="I786" s="14"/>
      <c r="J786" s="14"/>
      <c r="K786" s="14"/>
      <c r="L786" s="14"/>
      <c r="M786" s="15"/>
      <c r="N786" s="12"/>
    </row>
    <row r="787" spans="1:14" ht="13" x14ac:dyDescent="0.15">
      <c r="A787" s="15"/>
      <c r="D787" s="10"/>
      <c r="E787" s="10"/>
      <c r="F787" s="14"/>
      <c r="G787" s="14"/>
      <c r="H787" s="14"/>
      <c r="I787" s="14"/>
      <c r="J787" s="14"/>
      <c r="K787" s="14"/>
      <c r="L787" s="14"/>
      <c r="M787" s="15"/>
      <c r="N787" s="12"/>
    </row>
    <row r="788" spans="1:14" ht="13" x14ac:dyDescent="0.15">
      <c r="A788" s="15"/>
      <c r="D788" s="10"/>
      <c r="E788" s="10"/>
      <c r="F788" s="14"/>
      <c r="G788" s="14"/>
      <c r="H788" s="14"/>
      <c r="I788" s="14"/>
      <c r="J788" s="14"/>
      <c r="K788" s="14"/>
      <c r="L788" s="14"/>
      <c r="M788" s="15"/>
      <c r="N788" s="12"/>
    </row>
    <row r="789" spans="1:14" ht="13" x14ac:dyDescent="0.15">
      <c r="A789" s="15"/>
      <c r="D789" s="10"/>
      <c r="E789" s="10"/>
      <c r="F789" s="14"/>
      <c r="G789" s="14"/>
      <c r="H789" s="14"/>
      <c r="I789" s="14"/>
      <c r="J789" s="14"/>
      <c r="K789" s="14"/>
      <c r="L789" s="14"/>
      <c r="M789" s="15"/>
      <c r="N789" s="12"/>
    </row>
    <row r="790" spans="1:14" ht="13" x14ac:dyDescent="0.15">
      <c r="A790" s="15"/>
      <c r="D790" s="10"/>
      <c r="E790" s="10"/>
      <c r="F790" s="14"/>
      <c r="G790" s="14"/>
      <c r="H790" s="14"/>
      <c r="I790" s="14"/>
      <c r="J790" s="14"/>
      <c r="K790" s="14"/>
      <c r="L790" s="14"/>
      <c r="M790" s="15"/>
      <c r="N790" s="12"/>
    </row>
    <row r="791" spans="1:14" ht="13" x14ac:dyDescent="0.15">
      <c r="A791" s="15"/>
      <c r="D791" s="10"/>
      <c r="E791" s="10"/>
      <c r="F791" s="14"/>
      <c r="G791" s="14"/>
      <c r="H791" s="14"/>
      <c r="I791" s="14"/>
      <c r="J791" s="14"/>
      <c r="K791" s="14"/>
      <c r="L791" s="14"/>
      <c r="M791" s="15"/>
      <c r="N791" s="12"/>
    </row>
    <row r="792" spans="1:14" ht="13" x14ac:dyDescent="0.15">
      <c r="A792" s="15"/>
      <c r="D792" s="10"/>
      <c r="E792" s="10"/>
      <c r="F792" s="14"/>
      <c r="G792" s="14"/>
      <c r="H792" s="14"/>
      <c r="I792" s="14"/>
      <c r="J792" s="14"/>
      <c r="K792" s="14"/>
      <c r="L792" s="14"/>
      <c r="M792" s="15"/>
      <c r="N792" s="12"/>
    </row>
    <row r="793" spans="1:14" ht="13" x14ac:dyDescent="0.15">
      <c r="A793" s="15"/>
      <c r="D793" s="10"/>
      <c r="E793" s="10"/>
      <c r="F793" s="14"/>
      <c r="G793" s="14"/>
      <c r="H793" s="14"/>
      <c r="I793" s="14"/>
      <c r="J793" s="14"/>
      <c r="K793" s="14"/>
      <c r="L793" s="14"/>
      <c r="M793" s="15"/>
      <c r="N793" s="12"/>
    </row>
    <row r="794" spans="1:14" ht="13" x14ac:dyDescent="0.15">
      <c r="A794" s="15"/>
      <c r="D794" s="10"/>
      <c r="E794" s="10"/>
      <c r="F794" s="14"/>
      <c r="G794" s="14"/>
      <c r="H794" s="14"/>
      <c r="I794" s="14"/>
      <c r="J794" s="14"/>
      <c r="K794" s="14"/>
      <c r="L794" s="14"/>
      <c r="M794" s="15"/>
      <c r="N794" s="12"/>
    </row>
    <row r="795" spans="1:14" ht="13" x14ac:dyDescent="0.15">
      <c r="A795" s="15"/>
      <c r="D795" s="10"/>
      <c r="E795" s="10"/>
      <c r="F795" s="14"/>
      <c r="G795" s="14"/>
      <c r="H795" s="14"/>
      <c r="I795" s="14"/>
      <c r="J795" s="14"/>
      <c r="K795" s="14"/>
      <c r="L795" s="14"/>
      <c r="M795" s="15"/>
      <c r="N795" s="12"/>
    </row>
    <row r="796" spans="1:14" ht="13" x14ac:dyDescent="0.15">
      <c r="A796" s="15"/>
      <c r="D796" s="10"/>
      <c r="E796" s="10"/>
      <c r="F796" s="14"/>
      <c r="G796" s="14"/>
      <c r="H796" s="14"/>
      <c r="I796" s="14"/>
      <c r="J796" s="14"/>
      <c r="K796" s="14"/>
      <c r="L796" s="14"/>
      <c r="M796" s="15"/>
      <c r="N796" s="12"/>
    </row>
    <row r="797" spans="1:14" ht="13" x14ac:dyDescent="0.15">
      <c r="A797" s="15"/>
      <c r="D797" s="10"/>
      <c r="E797" s="10"/>
      <c r="F797" s="14"/>
      <c r="G797" s="14"/>
      <c r="H797" s="14"/>
      <c r="I797" s="14"/>
      <c r="J797" s="14"/>
      <c r="K797" s="14"/>
      <c r="L797" s="14"/>
      <c r="M797" s="15"/>
      <c r="N797" s="12"/>
    </row>
    <row r="798" spans="1:14" ht="13" x14ac:dyDescent="0.15">
      <c r="A798" s="15"/>
      <c r="D798" s="10"/>
      <c r="E798" s="10"/>
      <c r="F798" s="14"/>
      <c r="G798" s="14"/>
      <c r="H798" s="14"/>
      <c r="I798" s="14"/>
      <c r="J798" s="14"/>
      <c r="K798" s="14"/>
      <c r="L798" s="14"/>
      <c r="M798" s="15"/>
      <c r="N798" s="12"/>
    </row>
    <row r="799" spans="1:14" ht="13" x14ac:dyDescent="0.15">
      <c r="A799" s="15"/>
      <c r="D799" s="10"/>
      <c r="E799" s="10"/>
      <c r="F799" s="14"/>
      <c r="G799" s="14"/>
      <c r="H799" s="14"/>
      <c r="I799" s="14"/>
      <c r="J799" s="14"/>
      <c r="K799" s="14"/>
      <c r="L799" s="14"/>
      <c r="M799" s="15"/>
      <c r="N799" s="12"/>
    </row>
    <row r="800" spans="1:14" ht="13" x14ac:dyDescent="0.15">
      <c r="A800" s="15"/>
      <c r="D800" s="10"/>
      <c r="E800" s="10"/>
      <c r="F800" s="14"/>
      <c r="G800" s="14"/>
      <c r="H800" s="14"/>
      <c r="I800" s="14"/>
      <c r="J800" s="14"/>
      <c r="K800" s="14"/>
      <c r="L800" s="14"/>
      <c r="M800" s="15"/>
      <c r="N800" s="12"/>
    </row>
    <row r="801" spans="1:14" ht="13" x14ac:dyDescent="0.15">
      <c r="A801" s="15"/>
      <c r="D801" s="10"/>
      <c r="E801" s="10"/>
      <c r="F801" s="14"/>
      <c r="G801" s="14"/>
      <c r="H801" s="14"/>
      <c r="I801" s="14"/>
      <c r="J801" s="14"/>
      <c r="K801" s="14"/>
      <c r="L801" s="14"/>
      <c r="M801" s="15"/>
      <c r="N801" s="12"/>
    </row>
    <row r="802" spans="1:14" ht="13" x14ac:dyDescent="0.15">
      <c r="A802" s="15"/>
      <c r="D802" s="10"/>
      <c r="E802" s="10"/>
      <c r="F802" s="14"/>
      <c r="G802" s="14"/>
      <c r="H802" s="14"/>
      <c r="I802" s="14"/>
      <c r="J802" s="14"/>
      <c r="K802" s="14"/>
      <c r="L802" s="14"/>
      <c r="M802" s="15"/>
      <c r="N802" s="12"/>
    </row>
    <row r="803" spans="1:14" ht="13" x14ac:dyDescent="0.15">
      <c r="A803" s="15"/>
      <c r="D803" s="10"/>
      <c r="E803" s="10"/>
      <c r="F803" s="14"/>
      <c r="G803" s="14"/>
      <c r="H803" s="14"/>
      <c r="I803" s="14"/>
      <c r="J803" s="14"/>
      <c r="K803" s="14"/>
      <c r="L803" s="14"/>
      <c r="M803" s="15"/>
      <c r="N803" s="12"/>
    </row>
    <row r="804" spans="1:14" ht="13" x14ac:dyDescent="0.15">
      <c r="A804" s="15"/>
      <c r="D804" s="10"/>
      <c r="E804" s="10"/>
      <c r="F804" s="14"/>
      <c r="G804" s="14"/>
      <c r="H804" s="14"/>
      <c r="I804" s="14"/>
      <c r="J804" s="14"/>
      <c r="K804" s="14"/>
      <c r="L804" s="14"/>
      <c r="M804" s="15"/>
      <c r="N804" s="12"/>
    </row>
    <row r="805" spans="1:14" ht="13" x14ac:dyDescent="0.15">
      <c r="A805" s="15"/>
      <c r="D805" s="10"/>
      <c r="E805" s="10"/>
      <c r="F805" s="14"/>
      <c r="G805" s="14"/>
      <c r="H805" s="14"/>
      <c r="I805" s="14"/>
      <c r="J805" s="14"/>
      <c r="K805" s="14"/>
      <c r="L805" s="14"/>
      <c r="M805" s="15"/>
      <c r="N805" s="12"/>
    </row>
    <row r="806" spans="1:14" ht="13" x14ac:dyDescent="0.15">
      <c r="A806" s="15"/>
      <c r="D806" s="10"/>
      <c r="E806" s="10"/>
      <c r="F806" s="14"/>
      <c r="G806" s="14"/>
      <c r="H806" s="14"/>
      <c r="I806" s="14"/>
      <c r="J806" s="14"/>
      <c r="K806" s="14"/>
      <c r="L806" s="14"/>
      <c r="M806" s="15"/>
      <c r="N806" s="12"/>
    </row>
    <row r="807" spans="1:14" ht="13" x14ac:dyDescent="0.15">
      <c r="A807" s="15"/>
      <c r="D807" s="10"/>
      <c r="E807" s="10"/>
      <c r="F807" s="14"/>
      <c r="G807" s="14"/>
      <c r="H807" s="14"/>
      <c r="I807" s="14"/>
      <c r="J807" s="14"/>
      <c r="K807" s="14"/>
      <c r="L807" s="14"/>
      <c r="M807" s="15"/>
      <c r="N807" s="12"/>
    </row>
    <row r="808" spans="1:14" ht="13" x14ac:dyDescent="0.15">
      <c r="A808" s="15"/>
      <c r="D808" s="10"/>
      <c r="E808" s="10"/>
      <c r="F808" s="14"/>
      <c r="G808" s="14"/>
      <c r="H808" s="14"/>
      <c r="I808" s="14"/>
      <c r="J808" s="14"/>
      <c r="K808" s="14"/>
      <c r="L808" s="14"/>
      <c r="M808" s="15"/>
      <c r="N808" s="12"/>
    </row>
    <row r="809" spans="1:14" ht="13" x14ac:dyDescent="0.15">
      <c r="A809" s="15"/>
      <c r="D809" s="10"/>
      <c r="E809" s="10"/>
      <c r="F809" s="14"/>
      <c r="G809" s="14"/>
      <c r="H809" s="14"/>
      <c r="I809" s="14"/>
      <c r="J809" s="14"/>
      <c r="K809" s="14"/>
      <c r="L809" s="14"/>
      <c r="M809" s="15"/>
      <c r="N809" s="12"/>
    </row>
    <row r="810" spans="1:14" ht="13" x14ac:dyDescent="0.15">
      <c r="A810" s="15"/>
      <c r="D810" s="10"/>
      <c r="E810" s="10"/>
      <c r="F810" s="14"/>
      <c r="G810" s="14"/>
      <c r="H810" s="14"/>
      <c r="I810" s="14"/>
      <c r="J810" s="14"/>
      <c r="K810" s="14"/>
      <c r="L810" s="14"/>
      <c r="M810" s="15"/>
      <c r="N810" s="12"/>
    </row>
    <row r="811" spans="1:14" ht="13" x14ac:dyDescent="0.15">
      <c r="A811" s="15"/>
      <c r="D811" s="10"/>
      <c r="E811" s="10"/>
      <c r="F811" s="14"/>
      <c r="G811" s="14"/>
      <c r="H811" s="14"/>
      <c r="I811" s="14"/>
      <c r="J811" s="14"/>
      <c r="K811" s="14"/>
      <c r="L811" s="14"/>
      <c r="M811" s="15"/>
      <c r="N811" s="12"/>
    </row>
    <row r="812" spans="1:14" ht="13" x14ac:dyDescent="0.15">
      <c r="A812" s="15"/>
      <c r="D812" s="10"/>
      <c r="E812" s="10"/>
      <c r="F812" s="14"/>
      <c r="G812" s="14"/>
      <c r="H812" s="14"/>
      <c r="I812" s="14"/>
      <c r="J812" s="14"/>
      <c r="K812" s="14"/>
      <c r="L812" s="14"/>
      <c r="M812" s="15"/>
      <c r="N812" s="12"/>
    </row>
    <row r="813" spans="1:14" ht="13" x14ac:dyDescent="0.15">
      <c r="A813" s="15"/>
      <c r="D813" s="10"/>
      <c r="E813" s="10"/>
      <c r="F813" s="14"/>
      <c r="G813" s="14"/>
      <c r="H813" s="14"/>
      <c r="I813" s="14"/>
      <c r="J813" s="14"/>
      <c r="K813" s="14"/>
      <c r="L813" s="14"/>
      <c r="M813" s="15"/>
      <c r="N813" s="12"/>
    </row>
    <row r="814" spans="1:14" ht="13" x14ac:dyDescent="0.15">
      <c r="A814" s="15"/>
      <c r="D814" s="10"/>
      <c r="E814" s="10"/>
      <c r="F814" s="14"/>
      <c r="G814" s="14"/>
      <c r="H814" s="14"/>
      <c r="I814" s="14"/>
      <c r="J814" s="14"/>
      <c r="K814" s="14"/>
      <c r="L814" s="14"/>
      <c r="M814" s="15"/>
      <c r="N814" s="12"/>
    </row>
    <row r="815" spans="1:14" ht="13" x14ac:dyDescent="0.15">
      <c r="A815" s="15"/>
      <c r="D815" s="10"/>
      <c r="E815" s="10"/>
      <c r="F815" s="14"/>
      <c r="G815" s="14"/>
      <c r="H815" s="14"/>
      <c r="I815" s="14"/>
      <c r="J815" s="14"/>
      <c r="K815" s="14"/>
      <c r="L815" s="14"/>
      <c r="M815" s="15"/>
      <c r="N815" s="12"/>
    </row>
    <row r="816" spans="1:14" ht="13" x14ac:dyDescent="0.15">
      <c r="A816" s="15"/>
      <c r="D816" s="10"/>
      <c r="E816" s="10"/>
      <c r="F816" s="14"/>
      <c r="G816" s="14"/>
      <c r="H816" s="14"/>
      <c r="I816" s="14"/>
      <c r="J816" s="14"/>
      <c r="K816" s="14"/>
      <c r="L816" s="14"/>
      <c r="M816" s="15"/>
      <c r="N816" s="12"/>
    </row>
    <row r="817" spans="1:14" ht="13" x14ac:dyDescent="0.15">
      <c r="A817" s="15"/>
      <c r="D817" s="10"/>
      <c r="E817" s="10"/>
      <c r="F817" s="14"/>
      <c r="G817" s="14"/>
      <c r="H817" s="14"/>
      <c r="I817" s="14"/>
      <c r="J817" s="14"/>
      <c r="K817" s="14"/>
      <c r="L817" s="14"/>
      <c r="M817" s="15"/>
      <c r="N817" s="12"/>
    </row>
    <row r="818" spans="1:14" ht="13" x14ac:dyDescent="0.15">
      <c r="A818" s="15"/>
      <c r="D818" s="10"/>
      <c r="E818" s="10"/>
      <c r="F818" s="14"/>
      <c r="G818" s="14"/>
      <c r="H818" s="14"/>
      <c r="I818" s="14"/>
      <c r="J818" s="14"/>
      <c r="K818" s="14"/>
      <c r="L818" s="14"/>
      <c r="M818" s="15"/>
      <c r="N818" s="12"/>
    </row>
    <row r="819" spans="1:14" ht="13" x14ac:dyDescent="0.15">
      <c r="A819" s="15"/>
      <c r="D819" s="10"/>
      <c r="E819" s="10"/>
      <c r="F819" s="14"/>
      <c r="G819" s="14"/>
      <c r="H819" s="14"/>
      <c r="I819" s="14"/>
      <c r="J819" s="14"/>
      <c r="K819" s="14"/>
      <c r="L819" s="14"/>
      <c r="M819" s="15"/>
      <c r="N819" s="12"/>
    </row>
    <row r="820" spans="1:14" ht="13" x14ac:dyDescent="0.15">
      <c r="A820" s="15"/>
      <c r="D820" s="10"/>
      <c r="E820" s="10"/>
      <c r="F820" s="14"/>
      <c r="G820" s="14"/>
      <c r="H820" s="14"/>
      <c r="I820" s="14"/>
      <c r="J820" s="14"/>
      <c r="K820" s="14"/>
      <c r="L820" s="14"/>
      <c r="M820" s="15"/>
      <c r="N820" s="12"/>
    </row>
    <row r="821" spans="1:14" ht="13" x14ac:dyDescent="0.15">
      <c r="A821" s="15"/>
      <c r="D821" s="10"/>
      <c r="E821" s="10"/>
      <c r="F821" s="14"/>
      <c r="G821" s="14"/>
      <c r="H821" s="14"/>
      <c r="I821" s="14"/>
      <c r="J821" s="14"/>
      <c r="K821" s="14"/>
      <c r="L821" s="14"/>
      <c r="M821" s="15"/>
      <c r="N821" s="12"/>
    </row>
    <row r="822" spans="1:14" ht="13" x14ac:dyDescent="0.15">
      <c r="A822" s="15"/>
      <c r="D822" s="10"/>
      <c r="E822" s="10"/>
      <c r="F822" s="14"/>
      <c r="G822" s="14"/>
      <c r="H822" s="14"/>
      <c r="I822" s="14"/>
      <c r="J822" s="14"/>
      <c r="K822" s="14"/>
      <c r="L822" s="14"/>
      <c r="M822" s="15"/>
      <c r="N822" s="12"/>
    </row>
    <row r="823" spans="1:14" ht="13" x14ac:dyDescent="0.15">
      <c r="A823" s="15"/>
      <c r="D823" s="10"/>
      <c r="E823" s="10"/>
      <c r="F823" s="14"/>
      <c r="G823" s="14"/>
      <c r="H823" s="14"/>
      <c r="I823" s="14"/>
      <c r="J823" s="14"/>
      <c r="K823" s="14"/>
      <c r="L823" s="14"/>
      <c r="M823" s="15"/>
      <c r="N823" s="12"/>
    </row>
    <row r="824" spans="1:14" ht="13" x14ac:dyDescent="0.15">
      <c r="A824" s="15"/>
      <c r="D824" s="10"/>
      <c r="E824" s="10"/>
      <c r="F824" s="14"/>
      <c r="G824" s="14"/>
      <c r="H824" s="14"/>
      <c r="I824" s="14"/>
      <c r="J824" s="14"/>
      <c r="K824" s="14"/>
      <c r="L824" s="14"/>
      <c r="M824" s="15"/>
      <c r="N824" s="12"/>
    </row>
    <row r="825" spans="1:14" ht="13" x14ac:dyDescent="0.15">
      <c r="A825" s="15"/>
      <c r="D825" s="10"/>
      <c r="E825" s="10"/>
      <c r="F825" s="14"/>
      <c r="G825" s="14"/>
      <c r="H825" s="14"/>
      <c r="I825" s="14"/>
      <c r="J825" s="14"/>
      <c r="K825" s="14"/>
      <c r="L825" s="14"/>
      <c r="M825" s="15"/>
      <c r="N825" s="12"/>
    </row>
    <row r="826" spans="1:14" ht="13" x14ac:dyDescent="0.15">
      <c r="A826" s="15"/>
      <c r="D826" s="10"/>
      <c r="E826" s="10"/>
      <c r="F826" s="14"/>
      <c r="G826" s="14"/>
      <c r="H826" s="14"/>
      <c r="I826" s="14"/>
      <c r="J826" s="14"/>
      <c r="K826" s="14"/>
      <c r="L826" s="14"/>
      <c r="M826" s="15"/>
      <c r="N826" s="12"/>
    </row>
    <row r="827" spans="1:14" ht="13" x14ac:dyDescent="0.15">
      <c r="A827" s="15"/>
      <c r="D827" s="10"/>
      <c r="E827" s="10"/>
      <c r="F827" s="14"/>
      <c r="G827" s="14"/>
      <c r="H827" s="14"/>
      <c r="I827" s="14"/>
      <c r="J827" s="14"/>
      <c r="K827" s="14"/>
      <c r="L827" s="14"/>
      <c r="M827" s="15"/>
      <c r="N827" s="12"/>
    </row>
    <row r="828" spans="1:14" ht="13" x14ac:dyDescent="0.15">
      <c r="A828" s="15"/>
      <c r="D828" s="10"/>
      <c r="E828" s="10"/>
      <c r="F828" s="14"/>
      <c r="G828" s="14"/>
      <c r="H828" s="14"/>
      <c r="I828" s="14"/>
      <c r="J828" s="14"/>
      <c r="K828" s="14"/>
      <c r="L828" s="14"/>
      <c r="M828" s="15"/>
      <c r="N828" s="12"/>
    </row>
    <row r="829" spans="1:14" ht="13" x14ac:dyDescent="0.15">
      <c r="A829" s="15"/>
      <c r="D829" s="10"/>
      <c r="E829" s="10"/>
      <c r="F829" s="14"/>
      <c r="G829" s="14"/>
      <c r="H829" s="14"/>
      <c r="I829" s="14"/>
      <c r="J829" s="14"/>
      <c r="K829" s="14"/>
      <c r="L829" s="14"/>
      <c r="M829" s="15"/>
      <c r="N829" s="12"/>
    </row>
    <row r="830" spans="1:14" ht="13" x14ac:dyDescent="0.15">
      <c r="A830" s="15"/>
      <c r="D830" s="10"/>
      <c r="E830" s="10"/>
      <c r="F830" s="14"/>
      <c r="G830" s="14"/>
      <c r="H830" s="14"/>
      <c r="I830" s="14"/>
      <c r="J830" s="14"/>
      <c r="K830" s="14"/>
      <c r="L830" s="14"/>
      <c r="M830" s="15"/>
      <c r="N830" s="12"/>
    </row>
    <row r="831" spans="1:14" ht="13" x14ac:dyDescent="0.15">
      <c r="A831" s="15"/>
      <c r="D831" s="10"/>
      <c r="E831" s="10"/>
      <c r="F831" s="14"/>
      <c r="G831" s="14"/>
      <c r="H831" s="14"/>
      <c r="I831" s="14"/>
      <c r="J831" s="14"/>
      <c r="K831" s="14"/>
      <c r="L831" s="14"/>
      <c r="M831" s="15"/>
      <c r="N831" s="12"/>
    </row>
    <row r="832" spans="1:14" ht="13" x14ac:dyDescent="0.15">
      <c r="A832" s="15"/>
      <c r="D832" s="10"/>
      <c r="E832" s="10"/>
      <c r="F832" s="14"/>
      <c r="G832" s="14"/>
      <c r="H832" s="14"/>
      <c r="I832" s="14"/>
      <c r="J832" s="14"/>
      <c r="K832" s="14"/>
      <c r="L832" s="14"/>
      <c r="M832" s="15"/>
      <c r="N832" s="12"/>
    </row>
    <row r="833" spans="1:14" ht="13" x14ac:dyDescent="0.15">
      <c r="A833" s="15"/>
      <c r="D833" s="10"/>
      <c r="E833" s="10"/>
      <c r="F833" s="14"/>
      <c r="G833" s="14"/>
      <c r="H833" s="14"/>
      <c r="I833" s="14"/>
      <c r="J833" s="14"/>
      <c r="K833" s="14"/>
      <c r="L833" s="14"/>
      <c r="M833" s="15"/>
      <c r="N833" s="12"/>
    </row>
    <row r="834" spans="1:14" ht="13" x14ac:dyDescent="0.15">
      <c r="A834" s="15"/>
      <c r="D834" s="10"/>
      <c r="E834" s="10"/>
      <c r="F834" s="14"/>
      <c r="G834" s="14"/>
      <c r="H834" s="14"/>
      <c r="I834" s="14"/>
      <c r="J834" s="14"/>
      <c r="K834" s="14"/>
      <c r="L834" s="14"/>
      <c r="M834" s="15"/>
      <c r="N834" s="12"/>
    </row>
    <row r="835" spans="1:14" ht="13" x14ac:dyDescent="0.15">
      <c r="A835" s="15"/>
      <c r="D835" s="10"/>
      <c r="E835" s="10"/>
      <c r="F835" s="14"/>
      <c r="G835" s="14"/>
      <c r="H835" s="14"/>
      <c r="I835" s="14"/>
      <c r="J835" s="14"/>
      <c r="K835" s="14"/>
      <c r="L835" s="14"/>
      <c r="M835" s="15"/>
      <c r="N835" s="12"/>
    </row>
    <row r="836" spans="1:14" ht="13" x14ac:dyDescent="0.15">
      <c r="A836" s="15"/>
      <c r="D836" s="10"/>
      <c r="E836" s="10"/>
      <c r="F836" s="14"/>
      <c r="G836" s="14"/>
      <c r="H836" s="14"/>
      <c r="I836" s="14"/>
      <c r="J836" s="14"/>
      <c r="K836" s="14"/>
      <c r="L836" s="14"/>
      <c r="M836" s="15"/>
      <c r="N836" s="12"/>
    </row>
    <row r="837" spans="1:14" ht="13" x14ac:dyDescent="0.15">
      <c r="A837" s="15"/>
      <c r="D837" s="10"/>
      <c r="E837" s="10"/>
      <c r="F837" s="14"/>
      <c r="G837" s="14"/>
      <c r="H837" s="14"/>
      <c r="I837" s="14"/>
      <c r="J837" s="14"/>
      <c r="K837" s="14"/>
      <c r="L837" s="14"/>
      <c r="M837" s="15"/>
      <c r="N837" s="12"/>
    </row>
    <row r="838" spans="1:14" ht="13" x14ac:dyDescent="0.15">
      <c r="A838" s="15"/>
      <c r="D838" s="10"/>
      <c r="E838" s="10"/>
      <c r="F838" s="14"/>
      <c r="G838" s="14"/>
      <c r="H838" s="14"/>
      <c r="I838" s="14"/>
      <c r="J838" s="14"/>
      <c r="K838" s="14"/>
      <c r="L838" s="14"/>
      <c r="M838" s="15"/>
      <c r="N838" s="12"/>
    </row>
    <row r="839" spans="1:14" ht="13" x14ac:dyDescent="0.15">
      <c r="A839" s="15"/>
      <c r="D839" s="10"/>
      <c r="E839" s="10"/>
      <c r="F839" s="14"/>
      <c r="G839" s="14"/>
      <c r="H839" s="14"/>
      <c r="I839" s="14"/>
      <c r="J839" s="14"/>
      <c r="K839" s="14"/>
      <c r="L839" s="14"/>
      <c r="M839" s="15"/>
      <c r="N839" s="12"/>
    </row>
    <row r="840" spans="1:14" ht="13" x14ac:dyDescent="0.15">
      <c r="A840" s="15"/>
      <c r="D840" s="10"/>
      <c r="E840" s="10"/>
      <c r="F840" s="14"/>
      <c r="G840" s="14"/>
      <c r="H840" s="14"/>
      <c r="I840" s="14"/>
      <c r="J840" s="14"/>
      <c r="K840" s="14"/>
      <c r="L840" s="14"/>
      <c r="M840" s="15"/>
      <c r="N840" s="12"/>
    </row>
    <row r="841" spans="1:14" ht="13" x14ac:dyDescent="0.15">
      <c r="A841" s="15"/>
      <c r="D841" s="10"/>
      <c r="E841" s="10"/>
      <c r="F841" s="14"/>
      <c r="G841" s="14"/>
      <c r="H841" s="14"/>
      <c r="I841" s="14"/>
      <c r="J841" s="14"/>
      <c r="K841" s="14"/>
      <c r="L841" s="14"/>
      <c r="M841" s="15"/>
      <c r="N841" s="12"/>
    </row>
    <row r="842" spans="1:14" ht="13" x14ac:dyDescent="0.15">
      <c r="A842" s="15"/>
      <c r="D842" s="10"/>
      <c r="E842" s="10"/>
      <c r="F842" s="14"/>
      <c r="G842" s="14"/>
      <c r="H842" s="14"/>
      <c r="I842" s="14"/>
      <c r="J842" s="14"/>
      <c r="K842" s="14"/>
      <c r="L842" s="14"/>
      <c r="M842" s="15"/>
      <c r="N842" s="12"/>
    </row>
    <row r="843" spans="1:14" ht="13" x14ac:dyDescent="0.15">
      <c r="A843" s="15"/>
      <c r="D843" s="10"/>
      <c r="E843" s="10"/>
      <c r="F843" s="14"/>
      <c r="G843" s="14"/>
      <c r="H843" s="14"/>
      <c r="I843" s="14"/>
      <c r="J843" s="14"/>
      <c r="K843" s="14"/>
      <c r="L843" s="14"/>
      <c r="M843" s="15"/>
      <c r="N843" s="12"/>
    </row>
    <row r="844" spans="1:14" ht="13" x14ac:dyDescent="0.15">
      <c r="A844" s="15"/>
      <c r="D844" s="10"/>
      <c r="E844" s="10"/>
      <c r="F844" s="14"/>
      <c r="G844" s="14"/>
      <c r="H844" s="14"/>
      <c r="I844" s="14"/>
      <c r="J844" s="14"/>
      <c r="K844" s="14"/>
      <c r="L844" s="14"/>
      <c r="M844" s="15"/>
      <c r="N844" s="12"/>
    </row>
    <row r="845" spans="1:14" ht="13" x14ac:dyDescent="0.15">
      <c r="A845" s="15"/>
      <c r="D845" s="10"/>
      <c r="E845" s="10"/>
      <c r="F845" s="14"/>
      <c r="G845" s="14"/>
      <c r="H845" s="14"/>
      <c r="I845" s="14"/>
      <c r="J845" s="14"/>
      <c r="K845" s="14"/>
      <c r="L845" s="14"/>
      <c r="M845" s="15"/>
      <c r="N845" s="12"/>
    </row>
    <row r="846" spans="1:14" ht="13" x14ac:dyDescent="0.15">
      <c r="A846" s="15"/>
      <c r="D846" s="10"/>
      <c r="E846" s="10"/>
      <c r="F846" s="14"/>
      <c r="G846" s="14"/>
      <c r="H846" s="14"/>
      <c r="I846" s="14"/>
      <c r="J846" s="14"/>
      <c r="K846" s="14"/>
      <c r="L846" s="14"/>
      <c r="M846" s="15"/>
      <c r="N846" s="12"/>
    </row>
    <row r="847" spans="1:14" ht="13" x14ac:dyDescent="0.15">
      <c r="A847" s="15"/>
      <c r="D847" s="10"/>
      <c r="E847" s="10"/>
      <c r="F847" s="14"/>
      <c r="G847" s="14"/>
      <c r="H847" s="14"/>
      <c r="I847" s="14"/>
      <c r="J847" s="14"/>
      <c r="K847" s="14"/>
      <c r="L847" s="14"/>
      <c r="M847" s="15"/>
      <c r="N847" s="12"/>
    </row>
    <row r="848" spans="1:14" ht="13" x14ac:dyDescent="0.15">
      <c r="A848" s="15"/>
      <c r="D848" s="10"/>
      <c r="E848" s="10"/>
      <c r="F848" s="14"/>
      <c r="G848" s="14"/>
      <c r="H848" s="14"/>
      <c r="I848" s="14"/>
      <c r="J848" s="14"/>
      <c r="K848" s="14"/>
      <c r="L848" s="14"/>
      <c r="M848" s="15"/>
      <c r="N848" s="12"/>
    </row>
    <row r="849" spans="1:14" ht="13" x14ac:dyDescent="0.15">
      <c r="A849" s="15"/>
      <c r="D849" s="10"/>
      <c r="E849" s="10"/>
      <c r="F849" s="14"/>
      <c r="G849" s="14"/>
      <c r="H849" s="14"/>
      <c r="I849" s="14"/>
      <c r="J849" s="14"/>
      <c r="K849" s="14"/>
      <c r="L849" s="14"/>
      <c r="M849" s="15"/>
      <c r="N849" s="12"/>
    </row>
    <row r="850" spans="1:14" ht="13" x14ac:dyDescent="0.15">
      <c r="A850" s="15"/>
      <c r="D850" s="10"/>
      <c r="E850" s="10"/>
      <c r="F850" s="14"/>
      <c r="G850" s="14"/>
      <c r="H850" s="14"/>
      <c r="I850" s="14"/>
      <c r="J850" s="14"/>
      <c r="K850" s="14"/>
      <c r="L850" s="14"/>
      <c r="M850" s="15"/>
      <c r="N850" s="12"/>
    </row>
    <row r="851" spans="1:14" ht="13" x14ac:dyDescent="0.15">
      <c r="A851" s="15"/>
      <c r="D851" s="10"/>
      <c r="E851" s="10"/>
      <c r="F851" s="14"/>
      <c r="G851" s="14"/>
      <c r="H851" s="14"/>
      <c r="I851" s="14"/>
      <c r="J851" s="14"/>
      <c r="K851" s="14"/>
      <c r="L851" s="14"/>
      <c r="M851" s="15"/>
      <c r="N851" s="12"/>
    </row>
    <row r="852" spans="1:14" ht="13" x14ac:dyDescent="0.15">
      <c r="A852" s="15"/>
      <c r="D852" s="10"/>
      <c r="E852" s="10"/>
      <c r="F852" s="14"/>
      <c r="G852" s="14"/>
      <c r="H852" s="14"/>
      <c r="I852" s="14"/>
      <c r="J852" s="14"/>
      <c r="K852" s="14"/>
      <c r="L852" s="14"/>
      <c r="M852" s="15"/>
      <c r="N852" s="12"/>
    </row>
    <row r="853" spans="1:14" ht="13" x14ac:dyDescent="0.15">
      <c r="A853" s="15"/>
      <c r="D853" s="10"/>
      <c r="E853" s="10"/>
      <c r="F853" s="14"/>
      <c r="G853" s="14"/>
      <c r="H853" s="14"/>
      <c r="I853" s="14"/>
      <c r="J853" s="14"/>
      <c r="K853" s="14"/>
      <c r="L853" s="14"/>
      <c r="M853" s="15"/>
      <c r="N853" s="12"/>
    </row>
    <row r="854" spans="1:14" ht="13" x14ac:dyDescent="0.15">
      <c r="A854" s="15"/>
      <c r="D854" s="10"/>
      <c r="E854" s="10"/>
      <c r="F854" s="14"/>
      <c r="G854" s="14"/>
      <c r="H854" s="14"/>
      <c r="I854" s="14"/>
      <c r="J854" s="14"/>
      <c r="K854" s="14"/>
      <c r="L854" s="14"/>
      <c r="M854" s="15"/>
      <c r="N854" s="12"/>
    </row>
    <row r="855" spans="1:14" ht="13" x14ac:dyDescent="0.15">
      <c r="A855" s="15"/>
      <c r="D855" s="10"/>
      <c r="E855" s="10"/>
      <c r="F855" s="14"/>
      <c r="G855" s="14"/>
      <c r="H855" s="14"/>
      <c r="I855" s="14"/>
      <c r="J855" s="14"/>
      <c r="K855" s="14"/>
      <c r="L855" s="14"/>
      <c r="M855" s="15"/>
      <c r="N855" s="12"/>
    </row>
    <row r="856" spans="1:14" ht="13" x14ac:dyDescent="0.15">
      <c r="A856" s="15"/>
      <c r="D856" s="10"/>
      <c r="E856" s="10"/>
      <c r="F856" s="14"/>
      <c r="G856" s="14"/>
      <c r="H856" s="14"/>
      <c r="I856" s="14"/>
      <c r="J856" s="14"/>
      <c r="K856" s="14"/>
      <c r="L856" s="14"/>
      <c r="M856" s="15"/>
      <c r="N856" s="12"/>
    </row>
    <row r="857" spans="1:14" ht="13" x14ac:dyDescent="0.15">
      <c r="A857" s="15"/>
      <c r="D857" s="10"/>
      <c r="E857" s="10"/>
      <c r="F857" s="14"/>
      <c r="G857" s="14"/>
      <c r="H857" s="14"/>
      <c r="I857" s="14"/>
      <c r="J857" s="14"/>
      <c r="K857" s="14"/>
      <c r="L857" s="14"/>
      <c r="M857" s="15"/>
      <c r="N857" s="12"/>
    </row>
    <row r="858" spans="1:14" ht="13" x14ac:dyDescent="0.15">
      <c r="A858" s="15"/>
      <c r="D858" s="10"/>
      <c r="E858" s="10"/>
      <c r="F858" s="14"/>
      <c r="G858" s="14"/>
      <c r="H858" s="14"/>
      <c r="I858" s="14"/>
      <c r="J858" s="14"/>
      <c r="K858" s="14"/>
      <c r="L858" s="14"/>
      <c r="M858" s="15"/>
      <c r="N858" s="12"/>
    </row>
    <row r="859" spans="1:14" ht="13" x14ac:dyDescent="0.15">
      <c r="A859" s="15"/>
      <c r="D859" s="10"/>
      <c r="E859" s="10"/>
      <c r="F859" s="14"/>
      <c r="G859" s="14"/>
      <c r="H859" s="14"/>
      <c r="I859" s="14"/>
      <c r="J859" s="14"/>
      <c r="K859" s="14"/>
      <c r="L859" s="14"/>
      <c r="M859" s="15"/>
      <c r="N859" s="12"/>
    </row>
    <row r="860" spans="1:14" ht="13" x14ac:dyDescent="0.15">
      <c r="A860" s="15"/>
      <c r="D860" s="10"/>
      <c r="E860" s="10"/>
      <c r="F860" s="14"/>
      <c r="G860" s="14"/>
      <c r="H860" s="14"/>
      <c r="I860" s="14"/>
      <c r="J860" s="14"/>
      <c r="K860" s="14"/>
      <c r="L860" s="14"/>
      <c r="M860" s="15"/>
      <c r="N860" s="12"/>
    </row>
    <row r="861" spans="1:14" ht="13" x14ac:dyDescent="0.15">
      <c r="A861" s="15"/>
      <c r="D861" s="10"/>
      <c r="E861" s="10"/>
      <c r="F861" s="14"/>
      <c r="G861" s="14"/>
      <c r="H861" s="14"/>
      <c r="I861" s="14"/>
      <c r="J861" s="14"/>
      <c r="K861" s="14"/>
      <c r="L861" s="14"/>
      <c r="M861" s="15"/>
      <c r="N861" s="12"/>
    </row>
    <row r="862" spans="1:14" ht="13" x14ac:dyDescent="0.15">
      <c r="A862" s="15"/>
      <c r="D862" s="10"/>
      <c r="E862" s="10"/>
      <c r="F862" s="14"/>
      <c r="G862" s="14"/>
      <c r="H862" s="14"/>
      <c r="I862" s="14"/>
      <c r="J862" s="14"/>
      <c r="K862" s="14"/>
      <c r="L862" s="14"/>
      <c r="M862" s="15"/>
      <c r="N862" s="12"/>
    </row>
    <row r="863" spans="1:14" ht="13" x14ac:dyDescent="0.15">
      <c r="A863" s="15"/>
      <c r="D863" s="10"/>
      <c r="E863" s="10"/>
      <c r="F863" s="14"/>
      <c r="G863" s="14"/>
      <c r="H863" s="14"/>
      <c r="I863" s="14"/>
      <c r="J863" s="14"/>
      <c r="K863" s="14"/>
      <c r="L863" s="14"/>
      <c r="M863" s="15"/>
      <c r="N863" s="12"/>
    </row>
    <row r="864" spans="1:14" ht="13" x14ac:dyDescent="0.15">
      <c r="A864" s="15"/>
      <c r="D864" s="10"/>
      <c r="E864" s="10"/>
      <c r="F864" s="14"/>
      <c r="G864" s="14"/>
      <c r="H864" s="14"/>
      <c r="I864" s="14"/>
      <c r="J864" s="14"/>
      <c r="K864" s="14"/>
      <c r="L864" s="14"/>
      <c r="M864" s="15"/>
      <c r="N864" s="12"/>
    </row>
    <row r="865" spans="1:14" ht="13" x14ac:dyDescent="0.15">
      <c r="A865" s="15"/>
      <c r="D865" s="10"/>
      <c r="E865" s="10"/>
      <c r="F865" s="14"/>
      <c r="G865" s="14"/>
      <c r="H865" s="14"/>
      <c r="I865" s="14"/>
      <c r="J865" s="14"/>
      <c r="K865" s="14"/>
      <c r="L865" s="14"/>
      <c r="M865" s="15"/>
      <c r="N865" s="12"/>
    </row>
    <row r="866" spans="1:14" ht="13" x14ac:dyDescent="0.15">
      <c r="A866" s="15"/>
      <c r="D866" s="10"/>
      <c r="E866" s="10"/>
      <c r="F866" s="14"/>
      <c r="G866" s="14"/>
      <c r="H866" s="14"/>
      <c r="I866" s="14"/>
      <c r="J866" s="14"/>
      <c r="K866" s="14"/>
      <c r="L866" s="14"/>
      <c r="M866" s="15"/>
      <c r="N866" s="12"/>
    </row>
    <row r="867" spans="1:14" ht="13" x14ac:dyDescent="0.15">
      <c r="A867" s="15"/>
      <c r="D867" s="10"/>
      <c r="E867" s="10"/>
      <c r="F867" s="14"/>
      <c r="G867" s="14"/>
      <c r="H867" s="14"/>
      <c r="I867" s="14"/>
      <c r="J867" s="14"/>
      <c r="K867" s="14"/>
      <c r="L867" s="14"/>
      <c r="M867" s="15"/>
      <c r="N867" s="12"/>
    </row>
    <row r="868" spans="1:14" ht="13" x14ac:dyDescent="0.15">
      <c r="A868" s="15"/>
      <c r="D868" s="10"/>
      <c r="E868" s="10"/>
      <c r="F868" s="14"/>
      <c r="G868" s="14"/>
      <c r="H868" s="14"/>
      <c r="I868" s="14"/>
      <c r="J868" s="14"/>
      <c r="K868" s="14"/>
      <c r="L868" s="14"/>
      <c r="M868" s="15"/>
      <c r="N868" s="12"/>
    </row>
    <row r="869" spans="1:14" ht="13" x14ac:dyDescent="0.15">
      <c r="A869" s="15"/>
      <c r="D869" s="10"/>
      <c r="E869" s="10"/>
      <c r="F869" s="14"/>
      <c r="G869" s="14"/>
      <c r="H869" s="14"/>
      <c r="I869" s="14"/>
      <c r="J869" s="14"/>
      <c r="K869" s="14"/>
      <c r="L869" s="14"/>
      <c r="M869" s="15"/>
      <c r="N869" s="12"/>
    </row>
    <row r="870" spans="1:14" ht="13" x14ac:dyDescent="0.15">
      <c r="A870" s="15"/>
      <c r="D870" s="10"/>
      <c r="E870" s="10"/>
      <c r="F870" s="14"/>
      <c r="G870" s="14"/>
      <c r="H870" s="14"/>
      <c r="I870" s="14"/>
      <c r="J870" s="14"/>
      <c r="K870" s="14"/>
      <c r="L870" s="14"/>
      <c r="M870" s="15"/>
      <c r="N870" s="12"/>
    </row>
    <row r="871" spans="1:14" ht="13" x14ac:dyDescent="0.15">
      <c r="A871" s="15"/>
      <c r="D871" s="10"/>
      <c r="E871" s="10"/>
      <c r="F871" s="14"/>
      <c r="G871" s="14"/>
      <c r="H871" s="14"/>
      <c r="I871" s="14"/>
      <c r="J871" s="14"/>
      <c r="K871" s="14"/>
      <c r="L871" s="14"/>
      <c r="M871" s="15"/>
      <c r="N871" s="12"/>
    </row>
    <row r="872" spans="1:14" ht="13" x14ac:dyDescent="0.15">
      <c r="A872" s="15"/>
      <c r="D872" s="10"/>
      <c r="E872" s="10"/>
      <c r="F872" s="14"/>
      <c r="G872" s="14"/>
      <c r="H872" s="14"/>
      <c r="I872" s="14"/>
      <c r="J872" s="14"/>
      <c r="K872" s="14"/>
      <c r="L872" s="14"/>
      <c r="M872" s="15"/>
      <c r="N872" s="12"/>
    </row>
    <row r="873" spans="1:14" ht="13" x14ac:dyDescent="0.15">
      <c r="A873" s="15"/>
      <c r="D873" s="10"/>
      <c r="E873" s="10"/>
      <c r="F873" s="14"/>
      <c r="G873" s="14"/>
      <c r="H873" s="14"/>
      <c r="I873" s="14"/>
      <c r="J873" s="14"/>
      <c r="K873" s="14"/>
      <c r="L873" s="14"/>
      <c r="M873" s="15"/>
      <c r="N873" s="12"/>
    </row>
    <row r="874" spans="1:14" ht="13" x14ac:dyDescent="0.15">
      <c r="A874" s="15"/>
      <c r="D874" s="10"/>
      <c r="E874" s="10"/>
      <c r="F874" s="14"/>
      <c r="G874" s="14"/>
      <c r="H874" s="14"/>
      <c r="I874" s="14"/>
      <c r="J874" s="14"/>
      <c r="K874" s="14"/>
      <c r="L874" s="14"/>
      <c r="M874" s="15"/>
      <c r="N874" s="12"/>
    </row>
    <row r="875" spans="1:14" ht="13" x14ac:dyDescent="0.15">
      <c r="A875" s="15"/>
      <c r="D875" s="10"/>
      <c r="E875" s="10"/>
      <c r="F875" s="14"/>
      <c r="G875" s="14"/>
      <c r="H875" s="14"/>
      <c r="I875" s="14"/>
      <c r="J875" s="14"/>
      <c r="K875" s="14"/>
      <c r="L875" s="14"/>
      <c r="M875" s="15"/>
      <c r="N875" s="12"/>
    </row>
    <row r="876" spans="1:14" ht="13" x14ac:dyDescent="0.15">
      <c r="A876" s="15"/>
      <c r="D876" s="10"/>
      <c r="E876" s="10"/>
      <c r="F876" s="14"/>
      <c r="G876" s="14"/>
      <c r="H876" s="14"/>
      <c r="I876" s="14"/>
      <c r="J876" s="14"/>
      <c r="K876" s="14"/>
      <c r="L876" s="14"/>
      <c r="M876" s="15"/>
      <c r="N876" s="12"/>
    </row>
    <row r="877" spans="1:14" ht="13" x14ac:dyDescent="0.15">
      <c r="A877" s="15"/>
      <c r="D877" s="10"/>
      <c r="E877" s="10"/>
      <c r="F877" s="14"/>
      <c r="G877" s="14"/>
      <c r="H877" s="14"/>
      <c r="I877" s="14"/>
      <c r="J877" s="14"/>
      <c r="K877" s="14"/>
      <c r="L877" s="14"/>
      <c r="M877" s="15"/>
      <c r="N877" s="12"/>
    </row>
    <row r="878" spans="1:14" ht="13" x14ac:dyDescent="0.15">
      <c r="A878" s="15"/>
      <c r="D878" s="10"/>
      <c r="E878" s="10"/>
      <c r="F878" s="14"/>
      <c r="G878" s="14"/>
      <c r="H878" s="14"/>
      <c r="I878" s="14"/>
      <c r="J878" s="14"/>
      <c r="K878" s="14"/>
      <c r="L878" s="14"/>
      <c r="M878" s="15"/>
      <c r="N878" s="12"/>
    </row>
    <row r="879" spans="1:14" ht="13" x14ac:dyDescent="0.15">
      <c r="A879" s="15"/>
      <c r="D879" s="10"/>
      <c r="E879" s="10"/>
      <c r="F879" s="14"/>
      <c r="G879" s="14"/>
      <c r="H879" s="14"/>
      <c r="I879" s="14"/>
      <c r="J879" s="14"/>
      <c r="K879" s="14"/>
      <c r="L879" s="14"/>
      <c r="M879" s="15"/>
      <c r="N879" s="12"/>
    </row>
    <row r="880" spans="1:14" ht="13" x14ac:dyDescent="0.15">
      <c r="A880" s="15"/>
      <c r="D880" s="10"/>
      <c r="E880" s="10"/>
      <c r="F880" s="14"/>
      <c r="G880" s="14"/>
      <c r="H880" s="14"/>
      <c r="I880" s="14"/>
      <c r="J880" s="14"/>
      <c r="K880" s="14"/>
      <c r="L880" s="14"/>
      <c r="M880" s="15"/>
      <c r="N880" s="12"/>
    </row>
    <row r="881" spans="1:14" ht="13" x14ac:dyDescent="0.15">
      <c r="A881" s="15"/>
      <c r="D881" s="10"/>
      <c r="E881" s="10"/>
      <c r="F881" s="14"/>
      <c r="G881" s="14"/>
      <c r="H881" s="14"/>
      <c r="I881" s="14"/>
      <c r="J881" s="14"/>
      <c r="K881" s="14"/>
      <c r="L881" s="14"/>
      <c r="M881" s="15"/>
      <c r="N881" s="12"/>
    </row>
    <row r="882" spans="1:14" ht="13" x14ac:dyDescent="0.15">
      <c r="A882" s="15"/>
      <c r="D882" s="10"/>
      <c r="E882" s="10"/>
      <c r="F882" s="14"/>
      <c r="G882" s="14"/>
      <c r="H882" s="14"/>
      <c r="I882" s="14"/>
      <c r="J882" s="14"/>
      <c r="K882" s="14"/>
      <c r="L882" s="14"/>
      <c r="M882" s="15"/>
      <c r="N882" s="12"/>
    </row>
    <row r="883" spans="1:14" ht="13" x14ac:dyDescent="0.15">
      <c r="A883" s="15"/>
      <c r="D883" s="10"/>
      <c r="E883" s="10"/>
      <c r="F883" s="14"/>
      <c r="G883" s="14"/>
      <c r="H883" s="14"/>
      <c r="I883" s="14"/>
      <c r="J883" s="14"/>
      <c r="K883" s="14"/>
      <c r="L883" s="14"/>
      <c r="M883" s="15"/>
      <c r="N883" s="12"/>
    </row>
    <row r="884" spans="1:14" ht="13" x14ac:dyDescent="0.15">
      <c r="A884" s="15"/>
      <c r="D884" s="10"/>
      <c r="E884" s="10"/>
      <c r="F884" s="14"/>
      <c r="G884" s="14"/>
      <c r="H884" s="14"/>
      <c r="I884" s="14"/>
      <c r="J884" s="14"/>
      <c r="K884" s="14"/>
      <c r="L884" s="14"/>
      <c r="M884" s="15"/>
      <c r="N884" s="12"/>
    </row>
    <row r="885" spans="1:14" ht="13" x14ac:dyDescent="0.15">
      <c r="A885" s="15"/>
      <c r="D885" s="10"/>
      <c r="E885" s="10"/>
      <c r="F885" s="14"/>
      <c r="G885" s="14"/>
      <c r="H885" s="14"/>
      <c r="I885" s="14"/>
      <c r="J885" s="14"/>
      <c r="K885" s="14"/>
      <c r="L885" s="14"/>
      <c r="M885" s="15"/>
      <c r="N885" s="12"/>
    </row>
    <row r="886" spans="1:14" ht="13" x14ac:dyDescent="0.15">
      <c r="A886" s="15"/>
      <c r="D886" s="10"/>
      <c r="E886" s="10"/>
      <c r="F886" s="14"/>
      <c r="G886" s="14"/>
      <c r="H886" s="14"/>
      <c r="I886" s="14"/>
      <c r="J886" s="14"/>
      <c r="K886" s="14"/>
      <c r="L886" s="14"/>
      <c r="M886" s="15"/>
      <c r="N886" s="12"/>
    </row>
    <row r="887" spans="1:14" ht="13" x14ac:dyDescent="0.15">
      <c r="A887" s="15"/>
      <c r="D887" s="10"/>
      <c r="E887" s="10"/>
      <c r="F887" s="14"/>
      <c r="G887" s="14"/>
      <c r="H887" s="14"/>
      <c r="I887" s="14"/>
      <c r="J887" s="14"/>
      <c r="K887" s="14"/>
      <c r="L887" s="14"/>
      <c r="M887" s="15"/>
      <c r="N887" s="12"/>
    </row>
    <row r="888" spans="1:14" ht="13" x14ac:dyDescent="0.15">
      <c r="A888" s="15"/>
      <c r="D888" s="10"/>
      <c r="E888" s="10"/>
      <c r="F888" s="14"/>
      <c r="G888" s="14"/>
      <c r="H888" s="14"/>
      <c r="I888" s="14"/>
      <c r="J888" s="14"/>
      <c r="K888" s="14"/>
      <c r="L888" s="14"/>
      <c r="M888" s="15"/>
      <c r="N888" s="12"/>
    </row>
    <row r="889" spans="1:14" ht="13" x14ac:dyDescent="0.15">
      <c r="A889" s="15"/>
      <c r="D889" s="10"/>
      <c r="E889" s="10"/>
      <c r="F889" s="14"/>
      <c r="G889" s="14"/>
      <c r="H889" s="14"/>
      <c r="I889" s="14"/>
      <c r="J889" s="14"/>
      <c r="K889" s="14"/>
      <c r="L889" s="14"/>
      <c r="M889" s="15"/>
      <c r="N889" s="12"/>
    </row>
    <row r="890" spans="1:14" ht="13" x14ac:dyDescent="0.15">
      <c r="A890" s="15"/>
      <c r="D890" s="10"/>
      <c r="E890" s="10"/>
      <c r="F890" s="14"/>
      <c r="G890" s="14"/>
      <c r="H890" s="14"/>
      <c r="I890" s="14"/>
      <c r="J890" s="14"/>
      <c r="K890" s="14"/>
      <c r="L890" s="14"/>
      <c r="M890" s="15"/>
      <c r="N890" s="12"/>
    </row>
    <row r="891" spans="1:14" ht="13" x14ac:dyDescent="0.15">
      <c r="A891" s="15"/>
      <c r="D891" s="10"/>
      <c r="E891" s="10"/>
      <c r="F891" s="14"/>
      <c r="G891" s="14"/>
      <c r="H891" s="14"/>
      <c r="I891" s="14"/>
      <c r="J891" s="14"/>
      <c r="K891" s="14"/>
      <c r="L891" s="14"/>
      <c r="M891" s="15"/>
      <c r="N891" s="12"/>
    </row>
    <row r="892" spans="1:14" ht="13" x14ac:dyDescent="0.15">
      <c r="A892" s="15"/>
      <c r="D892" s="10"/>
      <c r="E892" s="10"/>
      <c r="F892" s="14"/>
      <c r="G892" s="14"/>
      <c r="H892" s="14"/>
      <c r="I892" s="14"/>
      <c r="J892" s="14"/>
      <c r="K892" s="14"/>
      <c r="L892" s="14"/>
      <c r="M892" s="15"/>
      <c r="N892" s="12"/>
    </row>
    <row r="893" spans="1:14" ht="13" x14ac:dyDescent="0.15">
      <c r="A893" s="15"/>
      <c r="D893" s="10"/>
      <c r="E893" s="10"/>
      <c r="F893" s="14"/>
      <c r="G893" s="14"/>
      <c r="H893" s="14"/>
      <c r="I893" s="14"/>
      <c r="J893" s="14"/>
      <c r="K893" s="14"/>
      <c r="L893" s="14"/>
      <c r="M893" s="15"/>
      <c r="N893" s="12"/>
    </row>
    <row r="894" spans="1:14" ht="13" x14ac:dyDescent="0.15">
      <c r="A894" s="15"/>
      <c r="D894" s="10"/>
      <c r="E894" s="10"/>
      <c r="F894" s="14"/>
      <c r="G894" s="14"/>
      <c r="H894" s="14"/>
      <c r="I894" s="14"/>
      <c r="J894" s="14"/>
      <c r="K894" s="14"/>
      <c r="L894" s="14"/>
      <c r="M894" s="15"/>
      <c r="N894" s="12"/>
    </row>
    <row r="895" spans="1:14" ht="13" x14ac:dyDescent="0.15">
      <c r="A895" s="15"/>
      <c r="D895" s="10"/>
      <c r="E895" s="10"/>
      <c r="F895" s="14"/>
      <c r="G895" s="14"/>
      <c r="H895" s="14"/>
      <c r="I895" s="14"/>
      <c r="J895" s="14"/>
      <c r="K895" s="14"/>
      <c r="L895" s="14"/>
      <c r="M895" s="15"/>
      <c r="N895" s="12"/>
    </row>
    <row r="896" spans="1:14" ht="13" x14ac:dyDescent="0.15">
      <c r="A896" s="15"/>
      <c r="D896" s="10"/>
      <c r="E896" s="10"/>
      <c r="F896" s="14"/>
      <c r="G896" s="14"/>
      <c r="H896" s="14"/>
      <c r="I896" s="14"/>
      <c r="J896" s="14"/>
      <c r="K896" s="14"/>
      <c r="L896" s="14"/>
      <c r="M896" s="15"/>
      <c r="N896" s="12"/>
    </row>
    <row r="897" spans="1:14" ht="13" x14ac:dyDescent="0.15">
      <c r="A897" s="15"/>
      <c r="D897" s="10"/>
      <c r="E897" s="10"/>
      <c r="F897" s="14"/>
      <c r="G897" s="14"/>
      <c r="H897" s="14"/>
      <c r="I897" s="14"/>
      <c r="J897" s="14"/>
      <c r="K897" s="14"/>
      <c r="L897" s="14"/>
      <c r="M897" s="15"/>
      <c r="N897" s="12"/>
    </row>
    <row r="898" spans="1:14" ht="13" x14ac:dyDescent="0.15">
      <c r="A898" s="15"/>
      <c r="D898" s="10"/>
      <c r="E898" s="10"/>
      <c r="F898" s="14"/>
      <c r="G898" s="14"/>
      <c r="H898" s="14"/>
      <c r="I898" s="14"/>
      <c r="J898" s="14"/>
      <c r="K898" s="14"/>
      <c r="L898" s="14"/>
      <c r="M898" s="15"/>
      <c r="N898" s="12"/>
    </row>
    <row r="899" spans="1:14" ht="13" x14ac:dyDescent="0.15">
      <c r="A899" s="15"/>
      <c r="D899" s="10"/>
      <c r="E899" s="10"/>
      <c r="F899" s="14"/>
      <c r="G899" s="14"/>
      <c r="H899" s="14"/>
      <c r="I899" s="14"/>
      <c r="J899" s="14"/>
      <c r="K899" s="14"/>
      <c r="L899" s="14"/>
      <c r="M899" s="15"/>
      <c r="N899" s="12"/>
    </row>
    <row r="900" spans="1:14" ht="13" x14ac:dyDescent="0.15">
      <c r="A900" s="15"/>
      <c r="D900" s="10"/>
      <c r="E900" s="10"/>
      <c r="F900" s="14"/>
      <c r="G900" s="14"/>
      <c r="H900" s="14"/>
      <c r="I900" s="14"/>
      <c r="J900" s="14"/>
      <c r="K900" s="14"/>
      <c r="L900" s="14"/>
      <c r="M900" s="15"/>
      <c r="N900" s="12"/>
    </row>
    <row r="901" spans="1:14" ht="13" x14ac:dyDescent="0.15">
      <c r="A901" s="15"/>
      <c r="D901" s="10"/>
      <c r="E901" s="10"/>
      <c r="F901" s="14"/>
      <c r="G901" s="14"/>
      <c r="H901" s="14"/>
      <c r="I901" s="14"/>
      <c r="J901" s="14"/>
      <c r="K901" s="14"/>
      <c r="L901" s="14"/>
      <c r="M901" s="15"/>
      <c r="N901" s="12"/>
    </row>
    <row r="902" spans="1:14" ht="13" x14ac:dyDescent="0.15">
      <c r="A902" s="15"/>
      <c r="D902" s="10"/>
      <c r="E902" s="10"/>
      <c r="F902" s="14"/>
      <c r="G902" s="14"/>
      <c r="H902" s="14"/>
      <c r="I902" s="14"/>
      <c r="J902" s="14"/>
      <c r="K902" s="14"/>
      <c r="L902" s="14"/>
      <c r="M902" s="15"/>
      <c r="N902" s="12"/>
    </row>
    <row r="903" spans="1:14" ht="13" x14ac:dyDescent="0.15">
      <c r="A903" s="15"/>
      <c r="D903" s="10"/>
      <c r="E903" s="10"/>
      <c r="F903" s="14"/>
      <c r="G903" s="14"/>
      <c r="H903" s="14"/>
      <c r="I903" s="14"/>
      <c r="J903" s="14"/>
      <c r="K903" s="14"/>
      <c r="L903" s="14"/>
      <c r="M903" s="15"/>
      <c r="N903" s="12"/>
    </row>
    <row r="904" spans="1:14" ht="13" x14ac:dyDescent="0.15">
      <c r="A904" s="15"/>
      <c r="D904" s="10"/>
      <c r="E904" s="10"/>
      <c r="F904" s="14"/>
      <c r="G904" s="14"/>
      <c r="H904" s="14"/>
      <c r="I904" s="14"/>
      <c r="J904" s="14"/>
      <c r="K904" s="14"/>
      <c r="L904" s="14"/>
      <c r="M904" s="15"/>
      <c r="N904" s="12"/>
    </row>
    <row r="905" spans="1:14" ht="13" x14ac:dyDescent="0.15">
      <c r="A905" s="15"/>
      <c r="D905" s="10"/>
      <c r="E905" s="10"/>
      <c r="F905" s="14"/>
      <c r="G905" s="14"/>
      <c r="H905" s="14"/>
      <c r="I905" s="14"/>
      <c r="J905" s="14"/>
      <c r="K905" s="14"/>
      <c r="L905" s="14"/>
      <c r="M905" s="15"/>
      <c r="N905" s="12"/>
    </row>
    <row r="906" spans="1:14" ht="13" x14ac:dyDescent="0.15">
      <c r="A906" s="15"/>
      <c r="D906" s="10"/>
      <c r="E906" s="10"/>
      <c r="F906" s="14"/>
      <c r="G906" s="14"/>
      <c r="H906" s="14"/>
      <c r="I906" s="14"/>
      <c r="J906" s="14"/>
      <c r="K906" s="14"/>
      <c r="L906" s="14"/>
      <c r="M906" s="15"/>
      <c r="N906" s="12"/>
    </row>
    <row r="907" spans="1:14" ht="13" x14ac:dyDescent="0.15">
      <c r="A907" s="15"/>
      <c r="D907" s="10"/>
      <c r="E907" s="10"/>
      <c r="F907" s="14"/>
      <c r="G907" s="14"/>
      <c r="H907" s="14"/>
      <c r="I907" s="14"/>
      <c r="J907" s="14"/>
      <c r="K907" s="14"/>
      <c r="L907" s="14"/>
      <c r="M907" s="15"/>
      <c r="N907" s="12"/>
    </row>
    <row r="908" spans="1:14" ht="13" x14ac:dyDescent="0.15">
      <c r="A908" s="15"/>
      <c r="D908" s="10"/>
      <c r="E908" s="10"/>
      <c r="F908" s="14"/>
      <c r="G908" s="14"/>
      <c r="H908" s="14"/>
      <c r="I908" s="14"/>
      <c r="J908" s="14"/>
      <c r="K908" s="14"/>
      <c r="L908" s="14"/>
      <c r="M908" s="15"/>
      <c r="N908" s="12"/>
    </row>
    <row r="909" spans="1:14" ht="13" x14ac:dyDescent="0.15">
      <c r="A909" s="15"/>
      <c r="D909" s="10"/>
      <c r="E909" s="10"/>
      <c r="F909" s="14"/>
      <c r="G909" s="14"/>
      <c r="H909" s="14"/>
      <c r="I909" s="14"/>
      <c r="J909" s="14"/>
      <c r="K909" s="14"/>
      <c r="L909" s="14"/>
      <c r="M909" s="15"/>
      <c r="N909" s="12"/>
    </row>
    <row r="910" spans="1:14" ht="13" x14ac:dyDescent="0.15">
      <c r="A910" s="15"/>
      <c r="D910" s="10"/>
      <c r="E910" s="10"/>
      <c r="F910" s="14"/>
      <c r="G910" s="14"/>
      <c r="H910" s="14"/>
      <c r="I910" s="14"/>
      <c r="J910" s="14"/>
      <c r="K910" s="14"/>
      <c r="L910" s="14"/>
      <c r="M910" s="15"/>
      <c r="N910" s="12"/>
    </row>
    <row r="911" spans="1:14" ht="13" x14ac:dyDescent="0.15">
      <c r="A911" s="15"/>
      <c r="D911" s="10"/>
      <c r="E911" s="10"/>
      <c r="F911" s="14"/>
      <c r="G911" s="14"/>
      <c r="H911" s="14"/>
      <c r="I911" s="14"/>
      <c r="J911" s="14"/>
      <c r="K911" s="14"/>
      <c r="L911" s="14"/>
      <c r="M911" s="15"/>
      <c r="N911" s="12"/>
    </row>
    <row r="912" spans="1:14" ht="13" x14ac:dyDescent="0.15">
      <c r="A912" s="15"/>
      <c r="D912" s="10"/>
      <c r="E912" s="10"/>
      <c r="F912" s="14"/>
      <c r="G912" s="14"/>
      <c r="H912" s="14"/>
      <c r="I912" s="14"/>
      <c r="J912" s="14"/>
      <c r="K912" s="14"/>
      <c r="L912" s="14"/>
      <c r="M912" s="15"/>
      <c r="N912" s="12"/>
    </row>
    <row r="913" spans="1:14" ht="13" x14ac:dyDescent="0.15">
      <c r="A913" s="15"/>
      <c r="D913" s="10"/>
      <c r="E913" s="10"/>
      <c r="F913" s="14"/>
      <c r="G913" s="14"/>
      <c r="H913" s="14"/>
      <c r="I913" s="14"/>
      <c r="J913" s="14"/>
      <c r="K913" s="14"/>
      <c r="L913" s="14"/>
      <c r="M913" s="15"/>
      <c r="N913" s="12"/>
    </row>
    <row r="914" spans="1:14" ht="13" x14ac:dyDescent="0.15">
      <c r="A914" s="15"/>
      <c r="D914" s="10"/>
      <c r="E914" s="10"/>
      <c r="F914" s="14"/>
      <c r="G914" s="14"/>
      <c r="H914" s="14"/>
      <c r="I914" s="14"/>
      <c r="J914" s="14"/>
      <c r="K914" s="14"/>
      <c r="L914" s="14"/>
      <c r="M914" s="15"/>
      <c r="N914" s="12"/>
    </row>
    <row r="915" spans="1:14" ht="13" x14ac:dyDescent="0.15">
      <c r="A915" s="15"/>
      <c r="D915" s="10"/>
      <c r="E915" s="10"/>
      <c r="F915" s="14"/>
      <c r="G915" s="14"/>
      <c r="H915" s="14"/>
      <c r="I915" s="14"/>
      <c r="J915" s="14"/>
      <c r="K915" s="14"/>
      <c r="L915" s="14"/>
      <c r="M915" s="15"/>
      <c r="N915" s="12"/>
    </row>
    <row r="916" spans="1:14" ht="13" x14ac:dyDescent="0.15">
      <c r="A916" s="15"/>
      <c r="D916" s="10"/>
      <c r="E916" s="10"/>
      <c r="F916" s="14"/>
      <c r="G916" s="14"/>
      <c r="H916" s="14"/>
      <c r="I916" s="14"/>
      <c r="J916" s="14"/>
      <c r="K916" s="14"/>
      <c r="L916" s="14"/>
      <c r="M916" s="15"/>
      <c r="N916" s="12"/>
    </row>
    <row r="917" spans="1:14" ht="13" x14ac:dyDescent="0.15">
      <c r="A917" s="15"/>
      <c r="D917" s="10"/>
      <c r="E917" s="10"/>
      <c r="F917" s="14"/>
      <c r="G917" s="14"/>
      <c r="H917" s="14"/>
      <c r="I917" s="14"/>
      <c r="J917" s="14"/>
      <c r="K917" s="14"/>
      <c r="L917" s="14"/>
      <c r="M917" s="15"/>
      <c r="N917" s="12"/>
    </row>
    <row r="918" spans="1:14" ht="13" x14ac:dyDescent="0.15">
      <c r="A918" s="15"/>
      <c r="D918" s="10"/>
      <c r="E918" s="10"/>
      <c r="F918" s="14"/>
      <c r="G918" s="14"/>
      <c r="H918" s="14"/>
      <c r="I918" s="14"/>
      <c r="J918" s="14"/>
      <c r="K918" s="14"/>
      <c r="L918" s="14"/>
      <c r="M918" s="15"/>
      <c r="N918" s="12"/>
    </row>
    <row r="919" spans="1:14" ht="13" x14ac:dyDescent="0.15">
      <c r="A919" s="15"/>
      <c r="D919" s="10"/>
      <c r="E919" s="10"/>
      <c r="F919" s="14"/>
      <c r="G919" s="14"/>
      <c r="H919" s="14"/>
      <c r="I919" s="14"/>
      <c r="J919" s="14"/>
      <c r="K919" s="14"/>
      <c r="L919" s="14"/>
      <c r="M919" s="15"/>
      <c r="N919" s="12"/>
    </row>
    <row r="920" spans="1:14" ht="13" x14ac:dyDescent="0.15">
      <c r="A920" s="15"/>
      <c r="D920" s="10"/>
      <c r="E920" s="10"/>
      <c r="F920" s="14"/>
      <c r="G920" s="14"/>
      <c r="H920" s="14"/>
      <c r="I920" s="14"/>
      <c r="J920" s="14"/>
      <c r="K920" s="14"/>
      <c r="L920" s="14"/>
      <c r="M920" s="15"/>
      <c r="N920" s="12"/>
    </row>
    <row r="921" spans="1:14" ht="13" x14ac:dyDescent="0.15">
      <c r="A921" s="15"/>
      <c r="D921" s="10"/>
      <c r="E921" s="10"/>
      <c r="F921" s="14"/>
      <c r="G921" s="14"/>
      <c r="H921" s="14"/>
      <c r="I921" s="14"/>
      <c r="J921" s="14"/>
      <c r="K921" s="14"/>
      <c r="L921" s="14"/>
      <c r="M921" s="15"/>
      <c r="N921" s="12"/>
    </row>
    <row r="922" spans="1:14" ht="13" x14ac:dyDescent="0.15">
      <c r="A922" s="15"/>
      <c r="D922" s="10"/>
      <c r="E922" s="10"/>
      <c r="F922" s="14"/>
      <c r="G922" s="14"/>
      <c r="H922" s="14"/>
      <c r="I922" s="14"/>
      <c r="J922" s="14"/>
      <c r="K922" s="14"/>
      <c r="L922" s="14"/>
      <c r="M922" s="15"/>
      <c r="N922" s="12"/>
    </row>
    <row r="923" spans="1:14" ht="13" x14ac:dyDescent="0.15">
      <c r="A923" s="15"/>
      <c r="D923" s="10"/>
      <c r="E923" s="10"/>
      <c r="F923" s="14"/>
      <c r="G923" s="14"/>
      <c r="H923" s="14"/>
      <c r="I923" s="14"/>
      <c r="J923" s="14"/>
      <c r="K923" s="14"/>
      <c r="L923" s="14"/>
      <c r="M923" s="15"/>
      <c r="N923" s="12"/>
    </row>
    <row r="924" spans="1:14" ht="13" x14ac:dyDescent="0.15">
      <c r="A924" s="15"/>
      <c r="D924" s="10"/>
      <c r="E924" s="10"/>
      <c r="F924" s="14"/>
      <c r="G924" s="14"/>
      <c r="H924" s="14"/>
      <c r="I924" s="14"/>
      <c r="J924" s="14"/>
      <c r="K924" s="14"/>
      <c r="L924" s="14"/>
      <c r="M924" s="15"/>
      <c r="N924" s="12"/>
    </row>
    <row r="925" spans="1:14" ht="13" x14ac:dyDescent="0.15">
      <c r="A925" s="15"/>
      <c r="D925" s="10"/>
      <c r="E925" s="10"/>
      <c r="F925" s="14"/>
      <c r="G925" s="14"/>
      <c r="H925" s="14"/>
      <c r="I925" s="14"/>
      <c r="J925" s="14"/>
      <c r="K925" s="14"/>
      <c r="L925" s="14"/>
      <c r="M925" s="15"/>
      <c r="N925" s="12"/>
    </row>
    <row r="926" spans="1:14" ht="13" x14ac:dyDescent="0.15">
      <c r="A926" s="15"/>
      <c r="D926" s="10"/>
      <c r="E926" s="10"/>
      <c r="F926" s="14"/>
      <c r="G926" s="14"/>
      <c r="H926" s="14"/>
      <c r="I926" s="14"/>
      <c r="J926" s="14"/>
      <c r="K926" s="14"/>
      <c r="L926" s="14"/>
      <c r="M926" s="15"/>
      <c r="N926" s="12"/>
    </row>
    <row r="927" spans="1:14" ht="13" x14ac:dyDescent="0.15">
      <c r="A927" s="15"/>
      <c r="D927" s="10"/>
      <c r="E927" s="10"/>
      <c r="F927" s="14"/>
      <c r="G927" s="14"/>
      <c r="H927" s="14"/>
      <c r="I927" s="14"/>
      <c r="J927" s="14"/>
      <c r="K927" s="14"/>
      <c r="L927" s="14"/>
      <c r="M927" s="15"/>
      <c r="N927" s="12"/>
    </row>
    <row r="928" spans="1:14" ht="13" x14ac:dyDescent="0.15">
      <c r="A928" s="15"/>
      <c r="D928" s="10"/>
      <c r="E928" s="10"/>
      <c r="F928" s="14"/>
      <c r="G928" s="14"/>
      <c r="H928" s="14"/>
      <c r="I928" s="14"/>
      <c r="J928" s="14"/>
      <c r="K928" s="14"/>
      <c r="L928" s="14"/>
      <c r="M928" s="15"/>
      <c r="N928" s="12"/>
    </row>
    <row r="929" spans="1:14" ht="13" x14ac:dyDescent="0.15">
      <c r="A929" s="15"/>
      <c r="D929" s="10"/>
      <c r="E929" s="10"/>
      <c r="F929" s="14"/>
      <c r="G929" s="14"/>
      <c r="H929" s="14"/>
      <c r="I929" s="14"/>
      <c r="J929" s="14"/>
      <c r="K929" s="14"/>
      <c r="L929" s="14"/>
      <c r="M929" s="15"/>
      <c r="N929" s="12"/>
    </row>
    <row r="930" spans="1:14" ht="13" x14ac:dyDescent="0.15">
      <c r="A930" s="15"/>
      <c r="D930" s="10"/>
      <c r="E930" s="10"/>
      <c r="F930" s="14"/>
      <c r="G930" s="14"/>
      <c r="H930" s="14"/>
      <c r="I930" s="14"/>
      <c r="J930" s="14"/>
      <c r="K930" s="14"/>
      <c r="L930" s="14"/>
      <c r="M930" s="15"/>
      <c r="N930" s="12"/>
    </row>
    <row r="931" spans="1:14" ht="13" x14ac:dyDescent="0.15">
      <c r="A931" s="15"/>
      <c r="D931" s="10"/>
      <c r="E931" s="10"/>
      <c r="F931" s="14"/>
      <c r="G931" s="14"/>
      <c r="H931" s="14"/>
      <c r="I931" s="14"/>
      <c r="J931" s="14"/>
      <c r="K931" s="14"/>
      <c r="L931" s="14"/>
      <c r="M931" s="15"/>
      <c r="N931" s="12"/>
    </row>
  </sheetData>
  <autoFilter ref="A1:S134" xr:uid="{00000000-0009-0000-0000-000000000000}"/>
  <mergeCells count="1">
    <mergeCell ref="F75:K75"/>
  </mergeCells>
  <hyperlinks>
    <hyperlink ref="C109" r:id="rId1" display="http://clinicaltrials.gov/NCT05070520"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Risk of Bias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Verity, Robert J</cp:lastModifiedBy>
  <dcterms:modified xsi:type="dcterms:W3CDTF">2026-03-19T17:09:29Z</dcterms:modified>
</cp:coreProperties>
</file>